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1"/>
  </bookViews>
  <sheets>
    <sheet name="수익율 확인" sheetId="1" r:id="rId1"/>
    <sheet name="동민" sheetId="2" r:id="rId2"/>
    <sheet name="고은" sheetId="3" r:id="rId3"/>
    <sheet name="샤인" sheetId="4" r:id="rId4"/>
  </sheet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1" l="1"/>
  <c r="L6" i="1" s="1"/>
  <c r="C16" i="4"/>
  <c r="C16" i="3"/>
  <c r="C16" i="2"/>
  <c r="C22" i="4"/>
  <c r="B21" i="4"/>
  <c r="C21" i="4" s="1"/>
  <c r="B20" i="4"/>
  <c r="D13" i="4" s="1"/>
  <c r="E13" i="4" s="1"/>
  <c r="C19" i="4"/>
  <c r="C18" i="4"/>
  <c r="C17" i="4"/>
  <c r="F13" i="4"/>
  <c r="G13" i="4" s="1"/>
  <c r="B13" i="4"/>
  <c r="J13" i="4" s="1"/>
  <c r="F12" i="4"/>
  <c r="J12" i="4" s="1"/>
  <c r="B12" i="4"/>
  <c r="C12" i="4" s="1"/>
  <c r="F11" i="4"/>
  <c r="G11" i="4" s="1"/>
  <c r="B11" i="4"/>
  <c r="J11" i="4" s="1"/>
  <c r="F10" i="4"/>
  <c r="J10" i="4" s="1"/>
  <c r="B10" i="4"/>
  <c r="C10" i="4" s="1"/>
  <c r="F9" i="4"/>
  <c r="G9" i="4" s="1"/>
  <c r="K9" i="4" s="1"/>
  <c r="C9" i="4"/>
  <c r="B9" i="4"/>
  <c r="F8" i="4"/>
  <c r="G8" i="4" s="1"/>
  <c r="K8" i="4" s="1"/>
  <c r="B8" i="4"/>
  <c r="C8" i="4" s="1"/>
  <c r="C22" i="3"/>
  <c r="B21" i="3"/>
  <c r="C21" i="3" s="1"/>
  <c r="B20" i="3"/>
  <c r="D13" i="3" s="1"/>
  <c r="E13" i="3" s="1"/>
  <c r="C19" i="3"/>
  <c r="C18" i="3"/>
  <c r="C17" i="3"/>
  <c r="F13" i="3"/>
  <c r="B13" i="3"/>
  <c r="F12" i="3"/>
  <c r="G12" i="3" s="1"/>
  <c r="B12" i="3"/>
  <c r="C12" i="3" s="1"/>
  <c r="F11" i="3"/>
  <c r="G11" i="3" s="1"/>
  <c r="B11" i="3"/>
  <c r="C11" i="3" s="1"/>
  <c r="F10" i="3"/>
  <c r="G10" i="3" s="1"/>
  <c r="B10" i="3"/>
  <c r="F9" i="3"/>
  <c r="G9" i="3" s="1"/>
  <c r="B9" i="3"/>
  <c r="F8" i="3"/>
  <c r="B8" i="3"/>
  <c r="C8" i="3" s="1"/>
  <c r="C22" i="2"/>
  <c r="B21" i="2"/>
  <c r="C21" i="2" s="1"/>
  <c r="B20" i="2"/>
  <c r="C20" i="2" s="1"/>
  <c r="C19" i="2"/>
  <c r="J6" i="2" s="1"/>
  <c r="C18" i="2"/>
  <c r="C17" i="2"/>
  <c r="F13" i="2"/>
  <c r="B13" i="2"/>
  <c r="F12" i="2"/>
  <c r="B12" i="2"/>
  <c r="C12" i="2" s="1"/>
  <c r="F11" i="2"/>
  <c r="B11" i="2"/>
  <c r="F10" i="2"/>
  <c r="B10" i="2"/>
  <c r="F9" i="2"/>
  <c r="B9" i="2"/>
  <c r="F8" i="2"/>
  <c r="B8" i="2"/>
  <c r="C21" i="1"/>
  <c r="B20" i="1"/>
  <c r="C19" i="1"/>
  <c r="C18" i="1"/>
  <c r="J6" i="1" s="1"/>
  <c r="C17" i="1"/>
  <c r="C16" i="1"/>
  <c r="H13" i="1"/>
  <c r="F13" i="1"/>
  <c r="D13" i="1"/>
  <c r="B13" i="1"/>
  <c r="C13" i="1" s="1"/>
  <c r="H12" i="1"/>
  <c r="F12" i="1"/>
  <c r="D12" i="1"/>
  <c r="B12" i="1"/>
  <c r="H11" i="1"/>
  <c r="F11" i="1"/>
  <c r="D11" i="1"/>
  <c r="B11" i="1"/>
  <c r="C11" i="1" s="1"/>
  <c r="H10" i="1"/>
  <c r="F10" i="1"/>
  <c r="D10" i="1"/>
  <c r="B10" i="1"/>
  <c r="H9" i="1"/>
  <c r="F9" i="1"/>
  <c r="D9" i="1"/>
  <c r="B9" i="1"/>
  <c r="C9" i="1" s="1"/>
  <c r="H8" i="1"/>
  <c r="I8" i="1" s="1"/>
  <c r="F8" i="1"/>
  <c r="D8" i="1"/>
  <c r="B8" i="1"/>
  <c r="C9" i="2" l="1"/>
  <c r="J13" i="2"/>
  <c r="B6" i="2"/>
  <c r="F6" i="2"/>
  <c r="G12" i="2"/>
  <c r="G8" i="3"/>
  <c r="K8" i="3" s="1"/>
  <c r="J9" i="3"/>
  <c r="J13" i="3"/>
  <c r="G13" i="3"/>
  <c r="C10" i="3"/>
  <c r="C11" i="4"/>
  <c r="J9" i="4"/>
  <c r="K11" i="4"/>
  <c r="G10" i="4"/>
  <c r="C13" i="4"/>
  <c r="J8" i="4"/>
  <c r="K13" i="4"/>
  <c r="G12" i="4"/>
  <c r="K12" i="4" s="1"/>
  <c r="I13" i="1"/>
  <c r="E10" i="1"/>
  <c r="E13" i="1"/>
  <c r="I9" i="1"/>
  <c r="F6" i="1"/>
  <c r="G8" i="1"/>
  <c r="E12" i="1"/>
  <c r="J10" i="1"/>
  <c r="I11" i="1"/>
  <c r="B6" i="1"/>
  <c r="L9" i="1"/>
  <c r="G12" i="1"/>
  <c r="L12" i="1"/>
  <c r="L11" i="1"/>
  <c r="G10" i="1"/>
  <c r="G11" i="1"/>
  <c r="K11" i="1" s="1"/>
  <c r="E9" i="1"/>
  <c r="I12" i="1"/>
  <c r="G9" i="1"/>
  <c r="K9" i="1" s="1"/>
  <c r="C8" i="1"/>
  <c r="L10" i="1"/>
  <c r="M13" i="1"/>
  <c r="G13" i="1"/>
  <c r="K13" i="1" s="1"/>
  <c r="C20" i="1"/>
  <c r="E11" i="1"/>
  <c r="M11" i="1" s="1"/>
  <c r="E8" i="1"/>
  <c r="M8" i="1" s="1"/>
  <c r="I10" i="1"/>
  <c r="M10" i="1" s="1"/>
  <c r="C12" i="1"/>
  <c r="L8" i="1"/>
  <c r="L13" i="1"/>
  <c r="H6" i="1"/>
  <c r="H8" i="2"/>
  <c r="I8" i="2" s="1"/>
  <c r="H12" i="2"/>
  <c r="I12" i="2" s="1"/>
  <c r="H10" i="2"/>
  <c r="I10" i="2" s="1"/>
  <c r="C10" i="2"/>
  <c r="C13" i="2"/>
  <c r="G10" i="2"/>
  <c r="K10" i="2" s="1"/>
  <c r="J9" i="2"/>
  <c r="C8" i="2"/>
  <c r="C11" i="2"/>
  <c r="G8" i="2"/>
  <c r="J11" i="2"/>
  <c r="D6" i="4"/>
  <c r="D6" i="3"/>
  <c r="H11" i="2"/>
  <c r="I11" i="2" s="1"/>
  <c r="D8" i="2"/>
  <c r="H9" i="2"/>
  <c r="I9" i="2" s="1"/>
  <c r="H13" i="2"/>
  <c r="I13" i="2" s="1"/>
  <c r="D10" i="2"/>
  <c r="E10" i="2" s="1"/>
  <c r="D12" i="2"/>
  <c r="E12" i="2" s="1"/>
  <c r="C20" i="4"/>
  <c r="J6" i="4" s="1"/>
  <c r="D9" i="2"/>
  <c r="E9" i="2" s="1"/>
  <c r="D11" i="2"/>
  <c r="E11" i="2" s="1"/>
  <c r="D13" i="2"/>
  <c r="E13" i="2" s="1"/>
  <c r="D6" i="2"/>
  <c r="H6" i="2" s="1"/>
  <c r="K12" i="3"/>
  <c r="K11" i="3"/>
  <c r="K12" i="2"/>
  <c r="K13" i="3"/>
  <c r="K10" i="4"/>
  <c r="K12" i="1"/>
  <c r="K10" i="3"/>
  <c r="J9" i="1"/>
  <c r="J11" i="1"/>
  <c r="J13" i="1"/>
  <c r="J8" i="3"/>
  <c r="J10" i="3"/>
  <c r="J12" i="3"/>
  <c r="J12" i="1"/>
  <c r="J8" i="2"/>
  <c r="J10" i="2"/>
  <c r="J12" i="2"/>
  <c r="D8" i="4"/>
  <c r="E8" i="4" s="1"/>
  <c r="H9" i="4"/>
  <c r="D10" i="4"/>
  <c r="E10" i="4" s="1"/>
  <c r="H11" i="4"/>
  <c r="D12" i="4"/>
  <c r="E12" i="4" s="1"/>
  <c r="H13" i="4"/>
  <c r="J8" i="1"/>
  <c r="G9" i="2"/>
  <c r="K9" i="2" s="1"/>
  <c r="G11" i="2"/>
  <c r="G13" i="2"/>
  <c r="D8" i="3"/>
  <c r="E8" i="3" s="1"/>
  <c r="H9" i="3"/>
  <c r="D10" i="3"/>
  <c r="E10" i="3" s="1"/>
  <c r="H11" i="3"/>
  <c r="D12" i="3"/>
  <c r="E12" i="3" s="1"/>
  <c r="H13" i="3"/>
  <c r="J11" i="3"/>
  <c r="C10" i="1"/>
  <c r="C9" i="3"/>
  <c r="K9" i="3" s="1"/>
  <c r="C13" i="3"/>
  <c r="C20" i="3"/>
  <c r="H8" i="4"/>
  <c r="D9" i="4"/>
  <c r="E9" i="4" s="1"/>
  <c r="H10" i="4"/>
  <c r="D11" i="4"/>
  <c r="E11" i="4" s="1"/>
  <c r="H12" i="4"/>
  <c r="H8" i="3"/>
  <c r="D9" i="3"/>
  <c r="E9" i="3" s="1"/>
  <c r="H10" i="3"/>
  <c r="D11" i="3"/>
  <c r="E11" i="3" s="1"/>
  <c r="H12" i="3"/>
  <c r="K13" i="2" l="1"/>
  <c r="K11" i="2"/>
  <c r="K8" i="2"/>
  <c r="K8" i="1"/>
  <c r="M12" i="1"/>
  <c r="M9" i="1"/>
  <c r="K10" i="1"/>
  <c r="L8" i="2"/>
  <c r="M12" i="2"/>
  <c r="M10" i="2"/>
  <c r="B6" i="4"/>
  <c r="M11" i="2"/>
  <c r="M9" i="2"/>
  <c r="E8" i="2"/>
  <c r="M8" i="2" s="1"/>
  <c r="L10" i="2"/>
  <c r="M13" i="2"/>
  <c r="L13" i="2"/>
  <c r="L12" i="2"/>
  <c r="L11" i="2"/>
  <c r="L9" i="2"/>
  <c r="F6" i="4"/>
  <c r="L6" i="2"/>
  <c r="I10" i="4"/>
  <c r="M10" i="4" s="1"/>
  <c r="L10" i="4"/>
  <c r="L6" i="3"/>
  <c r="H6" i="3"/>
  <c r="I12" i="4"/>
  <c r="M12" i="4" s="1"/>
  <c r="L12" i="4"/>
  <c r="L11" i="3"/>
  <c r="I11" i="3"/>
  <c r="M11" i="3" s="1"/>
  <c r="L13" i="4"/>
  <c r="I13" i="4"/>
  <c r="M13" i="4" s="1"/>
  <c r="I12" i="3"/>
  <c r="M12" i="3" s="1"/>
  <c r="L12" i="3"/>
  <c r="L9" i="3"/>
  <c r="I9" i="3"/>
  <c r="M9" i="3" s="1"/>
  <c r="L11" i="4"/>
  <c r="I11" i="4"/>
  <c r="M11" i="4" s="1"/>
  <c r="I10" i="3"/>
  <c r="M10" i="3" s="1"/>
  <c r="L10" i="3"/>
  <c r="I8" i="4"/>
  <c r="M8" i="4" s="1"/>
  <c r="L8" i="4"/>
  <c r="J6" i="3"/>
  <c r="F6" i="3"/>
  <c r="B6" i="3"/>
  <c r="L6" i="4"/>
  <c r="H6" i="4"/>
  <c r="L9" i="4"/>
  <c r="I9" i="4"/>
  <c r="M9" i="4" s="1"/>
  <c r="I8" i="3"/>
  <c r="M8" i="3" s="1"/>
  <c r="L8" i="3"/>
  <c r="L13" i="3"/>
  <c r="I13" i="3"/>
  <c r="M13" i="3" s="1"/>
</calcChain>
</file>

<file path=xl/sharedStrings.xml><?xml version="1.0" encoding="utf-8"?>
<sst xmlns="http://schemas.openxmlformats.org/spreadsheetml/2006/main" count="119" uniqueCount="21">
  <si>
    <t>퇴직 시점 연금 시물레이션</t>
  </si>
  <si>
    <r>
      <rPr>
        <b/>
        <sz val="12"/>
        <color rgb="FFFFFFFF"/>
        <rFont val="굴림체"/>
        <family val="3"/>
        <charset val="129"/>
      </rPr>
      <t xml:space="preserve">KODEX200
</t>
    </r>
    <r>
      <rPr>
        <b/>
        <sz val="12"/>
        <color rgb="FFFFFFFF"/>
        <rFont val="Noto Sans CJK SC"/>
        <family val="2"/>
      </rPr>
      <t>연평균 상승률</t>
    </r>
  </si>
  <si>
    <t>KODEX200 ETF</t>
  </si>
  <si>
    <r>
      <rPr>
        <b/>
        <sz val="12"/>
        <color rgb="FF000000"/>
        <rFont val="굴림체"/>
        <family val="3"/>
        <charset val="129"/>
      </rPr>
      <t xml:space="preserve">KODEX200 </t>
    </r>
    <r>
      <rPr>
        <b/>
        <sz val="12"/>
        <color rgb="FF000000"/>
        <rFont val="Noto Sans CJK SC"/>
        <family val="2"/>
      </rPr>
      <t>타겟위클리 커버드콜</t>
    </r>
  </si>
  <si>
    <t>차액 (커버드콜 - KODEX200)</t>
  </si>
  <si>
    <t>평가금액</t>
  </si>
  <si>
    <t>수익율</t>
  </si>
  <si>
    <t>※ 평가금액 단위 = 만원</t>
  </si>
  <si>
    <t>※ 보관기간 = 만 55세 퇴직 시까지 보관 기준</t>
  </si>
  <si>
    <t>※ 커버드콜 월수익률 = 15%(세후 12%)</t>
  </si>
  <si>
    <t>구분</t>
  </si>
  <si>
    <t>초기 입금</t>
  </si>
  <si>
    <t>월 납입금</t>
  </si>
  <si>
    <t>적립 기간</t>
  </si>
  <si>
    <t>보관 기간</t>
  </si>
  <si>
    <t>총 납입원금</t>
  </si>
  <si>
    <t>커버드콜 배당률(연)</t>
  </si>
  <si>
    <t>생일</t>
  </si>
  <si>
    <t>보관 기간(만 55세)</t>
  </si>
  <si>
    <r>
      <rPr>
        <b/>
        <sz val="12"/>
        <color rgb="FFFFFFFF"/>
        <rFont val="돋움"/>
        <family val="3"/>
        <charset val="129"/>
      </rPr>
      <t>입력</t>
    </r>
    <r>
      <rPr>
        <b/>
        <sz val="12"/>
        <color rgb="FFFFFFFF"/>
        <rFont val="Noto Sans CJK SC"/>
        <family val="2"/>
        <charset val="1"/>
      </rPr>
      <t xml:space="preserve"> </t>
    </r>
    <r>
      <rPr>
        <b/>
        <sz val="12"/>
        <color rgb="FFFFFFFF"/>
        <rFont val="돋움"/>
        <family val="3"/>
        <charset val="129"/>
      </rPr>
      <t>값</t>
    </r>
    <phoneticPr fontId="13" type="noConversion"/>
  </si>
  <si>
    <r>
      <rPr>
        <b/>
        <sz val="12"/>
        <color rgb="FFFFFFFF"/>
        <rFont val="돋움"/>
        <family val="3"/>
        <charset val="129"/>
      </rPr>
      <t>입력값</t>
    </r>
    <r>
      <rPr>
        <b/>
        <sz val="12"/>
        <color rgb="FFFFFFFF"/>
        <rFont val="Noto Sans CJK SC"/>
        <family val="2"/>
        <charset val="1"/>
      </rPr>
      <t xml:space="preserve"> </t>
    </r>
    <r>
      <rPr>
        <b/>
        <sz val="12"/>
        <color rgb="FFFFFFFF"/>
        <rFont val="돋움"/>
        <family val="3"/>
        <charset val="129"/>
      </rPr>
      <t>확인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</si>
</sst>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&quot; 개월 (15년)&quot;"/>
    <numFmt numFmtId="177" formatCode="#,##0&quot;원&quot;"/>
    <numFmt numFmtId="178" formatCode="#,##0&quot; 원&quot;"/>
    <numFmt numFmtId="179" formatCode="m/d/yyyy"/>
  </numFmts>
  <fonts count="15">
    <font>
      <sz val="11"/>
      <color theme="1"/>
      <name val="Calibri"/>
      <family val="2"/>
      <charset val="1"/>
    </font>
    <font>
      <b/>
      <sz val="12"/>
      <color rgb="FFFFFFFF"/>
      <name val="Noto Sans CJK SC"/>
      <family val="2"/>
      <charset val="1"/>
    </font>
    <font>
      <b/>
      <sz val="12"/>
      <color rgb="FFFFFFFF"/>
      <name val="굴림체"/>
      <family val="3"/>
      <charset val="129"/>
    </font>
    <font>
      <b/>
      <sz val="12"/>
      <color rgb="FFFFFFFF"/>
      <name val="Noto Sans CJK SC"/>
      <family val="2"/>
    </font>
    <font>
      <b/>
      <sz val="12"/>
      <color rgb="FF000000"/>
      <name val="굴림체"/>
      <family val="3"/>
      <charset val="129"/>
    </font>
    <font>
      <b/>
      <sz val="12"/>
      <color rgb="FF000000"/>
      <name val="Noto Sans CJK SC"/>
      <family val="2"/>
    </font>
    <font>
      <b/>
      <sz val="12"/>
      <color rgb="FF000000"/>
      <name val="Noto Sans CJK SC"/>
      <family val="2"/>
      <charset val="1"/>
    </font>
    <font>
      <b/>
      <sz val="12"/>
      <name val="굴림체"/>
      <family val="3"/>
      <charset val="129"/>
    </font>
    <font>
      <sz val="12"/>
      <name val="굴림체"/>
      <family val="3"/>
      <charset val="129"/>
    </font>
    <font>
      <b/>
      <sz val="12"/>
      <name val="Noto Sans CJK SC"/>
      <family val="2"/>
      <charset val="1"/>
    </font>
    <font>
      <sz val="12"/>
      <color theme="1"/>
      <name val="굴림체"/>
      <family val="3"/>
      <charset val="129"/>
    </font>
    <font>
      <b/>
      <sz val="12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8"/>
      <name val="돋움"/>
      <family val="3"/>
      <charset val="129"/>
    </font>
    <font>
      <b/>
      <sz val="12"/>
      <color rgb="FFFFFFFF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  <fill>
      <patternFill patternType="solid">
        <fgColor rgb="FFFFFFFF"/>
        <bgColor rgb="FFF5F5F5"/>
      </patternFill>
    </fill>
    <fill>
      <patternFill patternType="solid">
        <fgColor rgb="FFE2EFDA"/>
        <bgColor rgb="FFF5F5F5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5F5F5"/>
        <bgColor rgb="FFFFFFFF"/>
      </patternFill>
    </fill>
    <fill>
      <patternFill patternType="solid">
        <fgColor theme="0" tint="-0.249977111117893"/>
        <bgColor rgb="FFCCCCFF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/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9" fontId="7" fillId="6" borderId="1" xfId="0" applyNumberFormat="1" applyFont="1" applyFill="1" applyBorder="1" applyAlignment="1">
      <alignment horizontal="center" vertical="center" wrapText="1"/>
    </xf>
    <xf numFmtId="3" fontId="8" fillId="7" borderId="1" xfId="0" applyNumberFormat="1" applyFont="1" applyFill="1" applyBorder="1" applyAlignment="1">
      <alignment horizontal="right" vertical="center"/>
    </xf>
    <xf numFmtId="9" fontId="8" fillId="7" borderId="1" xfId="0" applyNumberFormat="1" applyFont="1" applyFill="1" applyBorder="1" applyAlignment="1">
      <alignment horizontal="right" vertical="center"/>
    </xf>
    <xf numFmtId="3" fontId="8" fillId="8" borderId="1" xfId="0" applyNumberFormat="1" applyFont="1" applyFill="1" applyBorder="1" applyAlignment="1">
      <alignment horizontal="right" vertical="center"/>
    </xf>
    <xf numFmtId="9" fontId="8" fillId="8" borderId="1" xfId="0" applyNumberFormat="1" applyFont="1" applyFill="1" applyBorder="1" applyAlignment="1">
      <alignment horizontal="right" vertical="center"/>
    </xf>
    <xf numFmtId="3" fontId="8" fillId="9" borderId="1" xfId="0" applyNumberFormat="1" applyFont="1" applyFill="1" applyBorder="1" applyAlignment="1">
      <alignment horizontal="right" vertical="center"/>
    </xf>
    <xf numFmtId="9" fontId="8" fillId="9" borderId="1" xfId="0" applyNumberFormat="1" applyFont="1" applyFill="1" applyBorder="1" applyAlignment="1">
      <alignment horizontal="right" vertical="center"/>
    </xf>
    <xf numFmtId="9" fontId="7" fillId="10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right" vertical="center" wrapText="1"/>
    </xf>
    <xf numFmtId="3" fontId="10" fillId="12" borderId="2" xfId="0" applyNumberFormat="1" applyFont="1" applyFill="1" applyBorder="1" applyAlignment="1" applyProtection="1">
      <alignment vertical="center"/>
      <protection locked="0"/>
    </xf>
    <xf numFmtId="0" fontId="10" fillId="0" borderId="0" xfId="0" applyFont="1" applyAlignment="1"/>
    <xf numFmtId="3" fontId="11" fillId="11" borderId="2" xfId="0" applyNumberFormat="1" applyFont="1" applyFill="1" applyBorder="1" applyAlignment="1">
      <alignment vertical="center"/>
    </xf>
    <xf numFmtId="4" fontId="10" fillId="12" borderId="2" xfId="0" applyNumberFormat="1" applyFont="1" applyFill="1" applyBorder="1" applyAlignment="1" applyProtection="1">
      <alignment vertical="center"/>
      <protection locked="0"/>
    </xf>
    <xf numFmtId="179" fontId="10" fillId="12" borderId="1" xfId="0" applyNumberFormat="1" applyFont="1" applyFill="1" applyBorder="1" applyAlignment="1" applyProtection="1">
      <alignment horizontal="center" vertical="center"/>
      <protection locked="0"/>
    </xf>
    <xf numFmtId="3" fontId="11" fillId="11" borderId="1" xfId="0" applyNumberFormat="1" applyFont="1" applyFill="1" applyBorder="1" applyAlignment="1" applyProtection="1">
      <alignment horizontal="right" vertical="center"/>
      <protection locked="0"/>
    </xf>
    <xf numFmtId="3" fontId="11" fillId="11" borderId="1" xfId="0" applyNumberFormat="1" applyFont="1" applyFill="1" applyBorder="1" applyAlignment="1">
      <alignment horizontal="right" vertical="center"/>
    </xf>
    <xf numFmtId="0" fontId="12" fillId="0" borderId="0" xfId="0" applyFont="1" applyAlignment="1"/>
    <xf numFmtId="179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3" fontId="10" fillId="12" borderId="1" xfId="0" applyNumberFormat="1" applyFont="1" applyFill="1" applyBorder="1" applyAlignment="1" applyProtection="1">
      <alignment horizontal="right" vertical="center"/>
      <protection locked="0"/>
    </xf>
    <xf numFmtId="4" fontId="10" fillId="12" borderId="1" xfId="0" applyNumberFormat="1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6" fontId="7" fillId="4" borderId="2" xfId="0" applyNumberFormat="1" applyFont="1" applyFill="1" applyBorder="1" applyAlignment="1">
      <alignment horizontal="center" vertical="center"/>
    </xf>
    <xf numFmtId="176" fontId="7" fillId="4" borderId="4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177" fontId="7" fillId="11" borderId="1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/>
    </xf>
    <xf numFmtId="176" fontId="7" fillId="11" borderId="1" xfId="0" applyNumberFormat="1" applyFont="1" applyFill="1" applyBorder="1" applyAlignment="1">
      <alignment horizontal="right" vertical="center"/>
    </xf>
    <xf numFmtId="178" fontId="7" fillId="11" borderId="1" xfId="0" applyNumberFormat="1" applyFont="1" applyFill="1" applyBorder="1" applyAlignment="1">
      <alignment horizontal="right" vertical="center"/>
    </xf>
    <xf numFmtId="9" fontId="7" fillId="11" borderId="1" xfId="0" applyNumberFormat="1" applyFont="1" applyFill="1" applyBorder="1" applyAlignment="1">
      <alignment horizontal="right" vertical="center"/>
    </xf>
    <xf numFmtId="0" fontId="0" fillId="0" borderId="0" xfId="0" applyBorder="1" applyAlignment="1"/>
    <xf numFmtId="0" fontId="9" fillId="0" borderId="5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Normal="100" workbookViewId="0">
      <selection sqref="A1:XFD3"/>
    </sheetView>
  </sheetViews>
  <sheetFormatPr defaultColWidth="8.7109375" defaultRowHeight="15"/>
  <cols>
    <col min="1" max="1" width="26.7109375" style="1" customWidth="1"/>
    <col min="2" max="2" width="15.42578125" style="1" customWidth="1"/>
    <col min="3" max="3" width="9.28515625" style="1" customWidth="1"/>
    <col min="4" max="4" width="13.5703125" style="1" customWidth="1"/>
    <col min="5" max="5" width="11" style="1" customWidth="1"/>
    <col min="6" max="6" width="11.85546875" style="1" customWidth="1"/>
    <col min="7" max="7" width="9.28515625" style="1" customWidth="1"/>
    <col min="8" max="8" width="17.42578125" style="1" customWidth="1"/>
    <col min="9" max="9" width="13.5703125" style="1" customWidth="1"/>
    <col min="10" max="10" width="11.85546875" style="1" customWidth="1"/>
    <col min="11" max="11" width="9.28515625" style="1" customWidth="1"/>
    <col min="12" max="12" width="17.42578125" style="1" customWidth="1"/>
    <col min="13" max="13" width="13.5703125" style="1" customWidth="1"/>
  </cols>
  <sheetData>
    <row r="1" spans="1:13" ht="24.75" customHeight="1">
      <c r="A1" s="13" t="s">
        <v>7</v>
      </c>
    </row>
    <row r="2" spans="1:13" ht="24.75" customHeight="1">
      <c r="A2" s="40" t="s">
        <v>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24.75" customHeight="1">
      <c r="A3" s="40" t="s">
        <v>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ht="27.75" customHeight="1">
      <c r="A4" s="28" t="s">
        <v>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 ht="19.5" customHeight="1">
      <c r="A5" s="29" t="s">
        <v>1</v>
      </c>
      <c r="B5" s="30" t="s">
        <v>2</v>
      </c>
      <c r="C5" s="30"/>
      <c r="D5" s="30"/>
      <c r="E5" s="30"/>
      <c r="F5" s="31" t="s">
        <v>3</v>
      </c>
      <c r="G5" s="31"/>
      <c r="H5" s="31"/>
      <c r="I5" s="31"/>
      <c r="J5" s="32" t="s">
        <v>4</v>
      </c>
      <c r="K5" s="32"/>
      <c r="L5" s="32"/>
      <c r="M5" s="32"/>
    </row>
    <row r="6" spans="1:13" ht="19.5" customHeight="1">
      <c r="A6" s="29"/>
      <c r="B6" s="33" t="str">
        <f>C18</f>
        <v>120개월(10년)</v>
      </c>
      <c r="C6" s="33"/>
      <c r="D6" s="34" t="str">
        <f>CONCATENATE(B18+B19, "개월(", ROUND((B18+B19)/12, 1), "년)")</f>
        <v>180개월(15년)</v>
      </c>
      <c r="E6" s="34"/>
      <c r="F6" s="35" t="str">
        <f>C18</f>
        <v>120개월(10년)</v>
      </c>
      <c r="G6" s="36"/>
      <c r="H6" s="37" t="str">
        <f>D6</f>
        <v>180개월(15년)</v>
      </c>
      <c r="I6" s="37"/>
      <c r="J6" s="38" t="str">
        <f>C18</f>
        <v>120개월(10년)</v>
      </c>
      <c r="K6" s="38"/>
      <c r="L6" s="39" t="str">
        <f>D6</f>
        <v>180개월(15년)</v>
      </c>
      <c r="M6" s="39"/>
    </row>
    <row r="7" spans="1:13" ht="19.5" customHeight="1">
      <c r="A7" s="29"/>
      <c r="B7" s="2" t="s">
        <v>5</v>
      </c>
      <c r="C7" s="2" t="s">
        <v>6</v>
      </c>
      <c r="D7" s="2" t="s">
        <v>5</v>
      </c>
      <c r="E7" s="2" t="s">
        <v>6</v>
      </c>
      <c r="F7" s="3" t="s">
        <v>5</v>
      </c>
      <c r="G7" s="3" t="s">
        <v>6</v>
      </c>
      <c r="H7" s="3" t="s">
        <v>5</v>
      </c>
      <c r="I7" s="3" t="s">
        <v>6</v>
      </c>
      <c r="J7" s="4" t="s">
        <v>5</v>
      </c>
      <c r="K7" s="4" t="s">
        <v>6</v>
      </c>
      <c r="L7" s="4" t="s">
        <v>5</v>
      </c>
      <c r="M7" s="4" t="s">
        <v>6</v>
      </c>
    </row>
    <row r="8" spans="1:13" ht="24.75" customHeight="1">
      <c r="A8" s="5">
        <v>-0.2</v>
      </c>
      <c r="B8" s="6">
        <f t="shared" ref="B8:B13" si="0">FV(((1+A8)^(1/12)-1),$B$18,-$B$17,-$B$16,0)/10000</f>
        <v>969.0094336009538</v>
      </c>
      <c r="C8" s="7">
        <f t="shared" ref="C8:C13" si="1">B8/($B$20/10000)-1</f>
        <v>-0.59624606933293589</v>
      </c>
      <c r="D8" s="6">
        <f t="shared" ref="D8:D13" si="2">FV(((1+A8)^(1/12)-1),$B$18,-$B$17,-$B$16,0)*(1+((1+A8)^(1/12)-1))^$B$19/10000</f>
        <v>317.52501120236076</v>
      </c>
      <c r="E8" s="7">
        <f t="shared" ref="E8:E13" si="3">D8/($B$20/10000)-1</f>
        <v>-0.86769791199901636</v>
      </c>
      <c r="F8" s="8">
        <f t="shared" ref="F8:F13" si="4">FV(((1+A8)^(1/12)-1+$B$21/12),$B$18,-$B$17,-$B$16,0)/10000</f>
        <v>1513.9437532686611</v>
      </c>
      <c r="G8" s="9">
        <f t="shared" ref="G8:G13" si="5">F8/($B$20/10000)-1</f>
        <v>-0.36919010280472453</v>
      </c>
      <c r="H8" s="8">
        <f t="shared" ref="H8:H13" si="6">FV(((1+A8)^(1/12)-1+$B$21/12),$B$18,-$B$17,-$B$16,0)*(1+((1+A8)^(1/12)-1+$B$21/12))^$B$19/10000</f>
        <v>911.34761478374639</v>
      </c>
      <c r="I8" s="9">
        <f t="shared" ref="I8:I13" si="7">H8/($B$20/10000)-1</f>
        <v>-0.62027182717343898</v>
      </c>
      <c r="J8" s="10">
        <f t="shared" ref="J8:M13" si="8">F8-B8</f>
        <v>544.93431966770731</v>
      </c>
      <c r="K8" s="11">
        <f t="shared" si="8"/>
        <v>0.22705596652821136</v>
      </c>
      <c r="L8" s="10">
        <f t="shared" si="8"/>
        <v>593.82260358138569</v>
      </c>
      <c r="M8" s="11">
        <f t="shared" si="8"/>
        <v>0.24742608482557737</v>
      </c>
    </row>
    <row r="9" spans="1:13" ht="24.75" customHeight="1">
      <c r="A9" s="12">
        <v>-0.1</v>
      </c>
      <c r="B9" s="6">
        <f t="shared" si="0"/>
        <v>1490.163685561999</v>
      </c>
      <c r="C9" s="7">
        <f t="shared" si="1"/>
        <v>-0.37909846434916705</v>
      </c>
      <c r="D9" s="6">
        <f t="shared" si="2"/>
        <v>879.92675468750406</v>
      </c>
      <c r="E9" s="7">
        <f t="shared" si="3"/>
        <v>-0.63336385221353997</v>
      </c>
      <c r="F9" s="8">
        <f t="shared" si="4"/>
        <v>2588.92957880417</v>
      </c>
      <c r="G9" s="9">
        <f t="shared" si="5"/>
        <v>7.8720657835070762E-2</v>
      </c>
      <c r="H9" s="8">
        <f t="shared" si="6"/>
        <v>2791.8386035889944</v>
      </c>
      <c r="I9" s="9">
        <f t="shared" si="7"/>
        <v>0.16326608482874772</v>
      </c>
      <c r="J9" s="10">
        <f t="shared" si="8"/>
        <v>1098.7658932421709</v>
      </c>
      <c r="K9" s="11">
        <f t="shared" si="8"/>
        <v>0.45781912218423781</v>
      </c>
      <c r="L9" s="10">
        <f t="shared" si="8"/>
        <v>1911.9118489014904</v>
      </c>
      <c r="M9" s="11">
        <f t="shared" si="8"/>
        <v>0.79662993704228768</v>
      </c>
    </row>
    <row r="10" spans="1:13" ht="24.75" customHeight="1">
      <c r="A10" s="5">
        <v>0</v>
      </c>
      <c r="B10" s="6">
        <f t="shared" si="0"/>
        <v>2400</v>
      </c>
      <c r="C10" s="7">
        <f t="shared" si="1"/>
        <v>0</v>
      </c>
      <c r="D10" s="6">
        <f t="shared" si="2"/>
        <v>2400</v>
      </c>
      <c r="E10" s="7">
        <f t="shared" si="3"/>
        <v>0</v>
      </c>
      <c r="F10" s="8">
        <f t="shared" si="4"/>
        <v>4600.7737891473398</v>
      </c>
      <c r="G10" s="9">
        <f t="shared" si="5"/>
        <v>0.91698907881139169</v>
      </c>
      <c r="H10" s="8">
        <f t="shared" si="6"/>
        <v>8358.2105535841765</v>
      </c>
      <c r="I10" s="9">
        <f t="shared" si="7"/>
        <v>2.4825877306600734</v>
      </c>
      <c r="J10" s="10">
        <f t="shared" si="8"/>
        <v>2200.7737891473398</v>
      </c>
      <c r="K10" s="11">
        <f t="shared" si="8"/>
        <v>0.91698907881139169</v>
      </c>
      <c r="L10" s="10">
        <f t="shared" si="8"/>
        <v>5958.2105535841765</v>
      </c>
      <c r="M10" s="11">
        <f t="shared" si="8"/>
        <v>2.4825877306600734</v>
      </c>
    </row>
    <row r="11" spans="1:13" ht="24.75" customHeight="1">
      <c r="A11" s="12">
        <v>0.05</v>
      </c>
      <c r="B11" s="6">
        <f t="shared" si="0"/>
        <v>3087.2632260293694</v>
      </c>
      <c r="C11" s="7">
        <f t="shared" si="1"/>
        <v>0.28635967751223723</v>
      </c>
      <c r="D11" s="6">
        <f t="shared" si="2"/>
        <v>3940.2171339655756</v>
      </c>
      <c r="E11" s="7">
        <f t="shared" si="3"/>
        <v>0.64175713915232313</v>
      </c>
      <c r="F11" s="8">
        <f t="shared" si="4"/>
        <v>6181.7379379185613</v>
      </c>
      <c r="G11" s="9">
        <f t="shared" si="5"/>
        <v>1.5757241407994007</v>
      </c>
      <c r="H11" s="8">
        <f t="shared" si="6"/>
        <v>14298.571314547173</v>
      </c>
      <c r="I11" s="9">
        <f t="shared" si="7"/>
        <v>4.9577380477279887</v>
      </c>
      <c r="J11" s="10">
        <f t="shared" si="8"/>
        <v>3094.4747118891919</v>
      </c>
      <c r="K11" s="11">
        <f t="shared" si="8"/>
        <v>1.2893644632871635</v>
      </c>
      <c r="L11" s="10">
        <f t="shared" si="8"/>
        <v>10358.354180581597</v>
      </c>
      <c r="M11" s="11">
        <f t="shared" si="8"/>
        <v>4.315980908575666</v>
      </c>
    </row>
    <row r="12" spans="1:13" ht="24.75" customHeight="1">
      <c r="A12" s="5">
        <v>0.1</v>
      </c>
      <c r="B12" s="6">
        <f t="shared" si="0"/>
        <v>3997.2771342806832</v>
      </c>
      <c r="C12" s="7">
        <f t="shared" si="1"/>
        <v>0.66553213928361799</v>
      </c>
      <c r="D12" s="6">
        <f t="shared" si="2"/>
        <v>6437.6547975303929</v>
      </c>
      <c r="E12" s="7">
        <f t="shared" si="3"/>
        <v>1.6823561656376635</v>
      </c>
      <c r="F12" s="8">
        <f t="shared" si="4"/>
        <v>8323.364745408564</v>
      </c>
      <c r="G12" s="9">
        <f t="shared" si="5"/>
        <v>2.4680686439202351</v>
      </c>
      <c r="H12" s="8">
        <f t="shared" si="6"/>
        <v>24238.38462712062</v>
      </c>
      <c r="I12" s="9">
        <f t="shared" si="7"/>
        <v>9.099326927966926</v>
      </c>
      <c r="J12" s="10">
        <f t="shared" si="8"/>
        <v>4326.0876111278812</v>
      </c>
      <c r="K12" s="11">
        <f t="shared" si="8"/>
        <v>1.8025365046366171</v>
      </c>
      <c r="L12" s="10">
        <f t="shared" si="8"/>
        <v>17800.729829590229</v>
      </c>
      <c r="M12" s="11">
        <f t="shared" si="8"/>
        <v>7.416970762329262</v>
      </c>
    </row>
    <row r="13" spans="1:13" ht="24.75" customHeight="1">
      <c r="A13" s="12">
        <v>0.2</v>
      </c>
      <c r="B13" s="6">
        <f t="shared" si="0"/>
        <v>6782.3853509383407</v>
      </c>
      <c r="C13" s="7">
        <f t="shared" si="1"/>
        <v>1.8259938962243085</v>
      </c>
      <c r="D13" s="6">
        <f t="shared" si="2"/>
        <v>16876.745116446858</v>
      </c>
      <c r="E13" s="7">
        <f t="shared" si="3"/>
        <v>6.0319771318528579</v>
      </c>
      <c r="F13" s="8">
        <f t="shared" si="4"/>
        <v>15071.243355027378</v>
      </c>
      <c r="G13" s="9">
        <f t="shared" si="5"/>
        <v>5.2796847312614075</v>
      </c>
      <c r="H13" s="8">
        <f t="shared" si="6"/>
        <v>67522.297869023067</v>
      </c>
      <c r="I13" s="9">
        <f t="shared" si="7"/>
        <v>27.13429077875961</v>
      </c>
      <c r="J13" s="10">
        <f t="shared" si="8"/>
        <v>8288.8580040890374</v>
      </c>
      <c r="K13" s="11">
        <f t="shared" si="8"/>
        <v>3.4536908350370989</v>
      </c>
      <c r="L13" s="10">
        <f t="shared" si="8"/>
        <v>50645.552752576208</v>
      </c>
      <c r="M13" s="11">
        <f t="shared" si="8"/>
        <v>21.102313646906751</v>
      </c>
    </row>
    <row r="14" spans="1:13" ht="24.7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</row>
    <row r="15" spans="1:13" ht="24.75" customHeight="1">
      <c r="A15" s="14" t="s">
        <v>10</v>
      </c>
      <c r="B15" s="14" t="s">
        <v>19</v>
      </c>
      <c r="C15" s="42" t="s">
        <v>20</v>
      </c>
      <c r="D15" s="42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24.75" customHeight="1">
      <c r="A16" s="15" t="s">
        <v>11</v>
      </c>
      <c r="B16" s="16">
        <v>0</v>
      </c>
      <c r="C16" s="41">
        <f>B16</f>
        <v>0</v>
      </c>
      <c r="D16" s="41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24.75" customHeight="1">
      <c r="A17" s="15" t="s">
        <v>12</v>
      </c>
      <c r="B17" s="16">
        <v>200000</v>
      </c>
      <c r="C17" s="41">
        <f>B17</f>
        <v>200000</v>
      </c>
      <c r="D17" s="41"/>
      <c r="F17" s="17"/>
      <c r="G17" s="17"/>
      <c r="H17" s="17"/>
      <c r="I17" s="17"/>
      <c r="J17" s="17"/>
      <c r="K17" s="17"/>
      <c r="L17" s="17"/>
      <c r="M17" s="17"/>
    </row>
    <row r="18" spans="1:13" ht="24.75" customHeight="1">
      <c r="A18" s="15" t="s">
        <v>13</v>
      </c>
      <c r="B18" s="16">
        <v>120</v>
      </c>
      <c r="C18" s="43" t="str">
        <f>CONCATENATE(B18,"개월(",ROUND(B18/12,1),"년)")</f>
        <v>120개월(10년)</v>
      </c>
      <c r="D18" s="43"/>
      <c r="F18" s="17"/>
      <c r="G18" s="17"/>
      <c r="H18" s="17"/>
      <c r="I18" s="17"/>
      <c r="J18" s="17"/>
      <c r="K18" s="17"/>
      <c r="L18" s="17"/>
      <c r="M18" s="17"/>
    </row>
    <row r="19" spans="1:13" ht="24.75" customHeight="1">
      <c r="A19" s="15" t="s">
        <v>14</v>
      </c>
      <c r="B19" s="16">
        <v>60</v>
      </c>
      <c r="C19" s="43" t="str">
        <f>CONCATENATE(B19,"개월(",ROUND(B19/12,1),"년)")</f>
        <v>60개월(5년)</v>
      </c>
      <c r="D19" s="43"/>
      <c r="F19" s="17"/>
      <c r="G19" s="17"/>
      <c r="H19" s="17"/>
      <c r="I19" s="17"/>
      <c r="J19" s="17"/>
      <c r="K19" s="17"/>
      <c r="L19" s="17"/>
      <c r="M19" s="17"/>
    </row>
    <row r="20" spans="1:13" ht="24.75" customHeight="1">
      <c r="A20" s="15" t="s">
        <v>15</v>
      </c>
      <c r="B20" s="18">
        <f>$B$17*$B$18+$B$16</f>
        <v>24000000</v>
      </c>
      <c r="C20" s="44" t="str">
        <f>CONCATENATE(ROUND(B20/10000,0),"만원")</f>
        <v>2400만원</v>
      </c>
      <c r="D20" s="44"/>
      <c r="F20" s="17"/>
      <c r="G20" s="17"/>
      <c r="H20" s="17"/>
      <c r="I20" s="17"/>
      <c r="J20" s="17"/>
      <c r="K20" s="17"/>
      <c r="L20" s="17"/>
      <c r="M20" s="17"/>
    </row>
    <row r="21" spans="1:13" ht="24.75" customHeight="1">
      <c r="A21" s="15" t="s">
        <v>16</v>
      </c>
      <c r="B21" s="19">
        <v>0.12</v>
      </c>
      <c r="C21" s="45">
        <f>B21</f>
        <v>0.12</v>
      </c>
      <c r="D21" s="45"/>
      <c r="F21" s="17"/>
      <c r="G21" s="17"/>
      <c r="H21" s="17"/>
      <c r="I21" s="17"/>
      <c r="J21" s="17"/>
      <c r="K21" s="17"/>
      <c r="L21" s="17"/>
      <c r="M21" s="17"/>
    </row>
    <row r="22" spans="1:13" ht="24.75" customHeight="1">
      <c r="C22" s="46"/>
      <c r="D22" s="46"/>
    </row>
  </sheetData>
  <mergeCells count="21">
    <mergeCell ref="C18:D18"/>
    <mergeCell ref="C19:D19"/>
    <mergeCell ref="C20:D20"/>
    <mergeCell ref="C21:D21"/>
    <mergeCell ref="C22:D22"/>
    <mergeCell ref="A2:M2"/>
    <mergeCell ref="C16:D16"/>
    <mergeCell ref="C17:D17"/>
    <mergeCell ref="C15:D15"/>
    <mergeCell ref="A3:M3"/>
    <mergeCell ref="A4:M4"/>
    <mergeCell ref="A5:A7"/>
    <mergeCell ref="B5:E5"/>
    <mergeCell ref="F5:I5"/>
    <mergeCell ref="J5:M5"/>
    <mergeCell ref="B6:C6"/>
    <mergeCell ref="D6:E6"/>
    <mergeCell ref="F6:G6"/>
    <mergeCell ref="H6:I6"/>
    <mergeCell ref="J6:K6"/>
    <mergeCell ref="L6:M6"/>
  </mergeCells>
  <phoneticPr fontId="13" type="noConversion"/>
  <pageMargins left="0.75" right="0.75" top="1" bottom="1" header="0.511811023622047" footer="0.511811023622047"/>
  <pageSetup paperSize="9" orientation="portrait" horizontalDpi="300" verticalDpi="300"/>
  <ignoredErrors>
    <ignoredError sqref="D8:D13 F8:F13 H8:H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zoomScaleNormal="100" workbookViewId="0">
      <selection activeCell="K18" sqref="K18"/>
    </sheetView>
  </sheetViews>
  <sheetFormatPr defaultColWidth="8.7109375" defaultRowHeight="15"/>
  <cols>
    <col min="1" max="1" width="26.7109375" style="1" customWidth="1"/>
    <col min="2" max="2" width="15.42578125" style="1" customWidth="1"/>
    <col min="3" max="3" width="9.28515625" style="1" customWidth="1"/>
    <col min="4" max="4" width="13.5703125" style="1" customWidth="1"/>
    <col min="5" max="5" width="11" style="1" customWidth="1"/>
    <col min="6" max="6" width="11.85546875" style="1" customWidth="1"/>
    <col min="7" max="7" width="9.28515625" style="1" customWidth="1"/>
    <col min="8" max="8" width="17.42578125" style="1" customWidth="1"/>
    <col min="9" max="9" width="13.5703125" style="1" customWidth="1"/>
    <col min="10" max="10" width="11.85546875" style="1" customWidth="1"/>
    <col min="11" max="11" width="9.28515625" style="1" customWidth="1"/>
    <col min="12" max="12" width="17.42578125" style="1" customWidth="1"/>
    <col min="13" max="13" width="13.5703125" style="1" customWidth="1"/>
  </cols>
  <sheetData>
    <row r="1" spans="1:13" ht="24.75" customHeight="1">
      <c r="A1" s="13" t="s">
        <v>7</v>
      </c>
    </row>
    <row r="2" spans="1:13" ht="24.75" customHeight="1">
      <c r="A2" s="40" t="s">
        <v>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24.75" customHeight="1">
      <c r="A3" s="40" t="s">
        <v>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ht="27.75" customHeight="1">
      <c r="A4" s="28" t="s">
        <v>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 ht="19.5" customHeight="1">
      <c r="A5" s="29" t="s">
        <v>1</v>
      </c>
      <c r="B5" s="30" t="s">
        <v>2</v>
      </c>
      <c r="C5" s="30"/>
      <c r="D5" s="30"/>
      <c r="E5" s="30"/>
      <c r="F5" s="31" t="s">
        <v>3</v>
      </c>
      <c r="G5" s="31"/>
      <c r="H5" s="31"/>
      <c r="I5" s="31"/>
      <c r="J5" s="32" t="s">
        <v>4</v>
      </c>
      <c r="K5" s="32"/>
      <c r="L5" s="32"/>
      <c r="M5" s="32"/>
    </row>
    <row r="6" spans="1:13" ht="19.5" customHeight="1">
      <c r="A6" s="29"/>
      <c r="B6" s="33" t="str">
        <f>C19</f>
        <v>120개월(10년)</v>
      </c>
      <c r="C6" s="33"/>
      <c r="D6" s="34" t="str">
        <f ca="1">CONCATENATE(B19+B20, "개월(", ROUND((B19+B20)/12, 1), "년)")</f>
        <v>355개월(29.6년)</v>
      </c>
      <c r="E6" s="34"/>
      <c r="F6" s="35" t="str">
        <f>C19</f>
        <v>120개월(10년)</v>
      </c>
      <c r="G6" s="35"/>
      <c r="H6" s="37" t="str">
        <f ca="1">D6</f>
        <v>355개월(29.6년)</v>
      </c>
      <c r="I6" s="37"/>
      <c r="J6" s="38" t="str">
        <f>C19</f>
        <v>120개월(10년)</v>
      </c>
      <c r="K6" s="38"/>
      <c r="L6" s="39" t="str">
        <f ca="1">D6</f>
        <v>355개월(29.6년)</v>
      </c>
      <c r="M6" s="39"/>
    </row>
    <row r="7" spans="1:13" ht="19.5" customHeight="1">
      <c r="A7" s="29"/>
      <c r="B7" s="2" t="s">
        <v>5</v>
      </c>
      <c r="C7" s="2" t="s">
        <v>6</v>
      </c>
      <c r="D7" s="2" t="s">
        <v>5</v>
      </c>
      <c r="E7" s="2" t="s">
        <v>6</v>
      </c>
      <c r="F7" s="3" t="s">
        <v>5</v>
      </c>
      <c r="G7" s="3" t="s">
        <v>6</v>
      </c>
      <c r="H7" s="3" t="s">
        <v>5</v>
      </c>
      <c r="I7" s="3" t="s">
        <v>6</v>
      </c>
      <c r="J7" s="4" t="s">
        <v>5</v>
      </c>
      <c r="K7" s="4" t="s">
        <v>6</v>
      </c>
      <c r="L7" s="4" t="s">
        <v>5</v>
      </c>
      <c r="M7" s="4" t="s">
        <v>6</v>
      </c>
    </row>
    <row r="8" spans="1:13" ht="24.75" customHeight="1">
      <c r="A8" s="5">
        <v>-0.2</v>
      </c>
      <c r="B8" s="6">
        <f t="shared" ref="B8:B13" si="0">FV(((1+A8)^(1/12)-1),$B$19,-$B$18,-$B$17,0)/10000</f>
        <v>969.0094336009538</v>
      </c>
      <c r="C8" s="7">
        <f t="shared" ref="C8:C13" si="1">B8/($B$21/10000)-1</f>
        <v>-0.59624606933293589</v>
      </c>
      <c r="D8" s="6">
        <f t="shared" ref="D8:D13" ca="1" si="2">FV(((1+A8)^(1/12)-1),$B$19,-$B$18,-$B$17,0)*(1+((1+A8)^(1/12)-1))^$B$20/10000</f>
        <v>12.260464296998093</v>
      </c>
      <c r="E8" s="7">
        <f t="shared" ref="E8:E13" ca="1" si="3">D8/($B$21/10000)-1</f>
        <v>-0.99489147320958415</v>
      </c>
      <c r="F8" s="8">
        <f t="shared" ref="F8:F13" si="4">FV(((1+A8)^(1/12)-1+$B$22/12),$B$19,-$B$18,-$B$17,0)/10000</f>
        <v>1513.9437532686611</v>
      </c>
      <c r="G8" s="9">
        <f t="shared" ref="G8:G13" si="5">F8/($B$21/10000)-1</f>
        <v>-0.36919010280472453</v>
      </c>
      <c r="H8" s="8">
        <f t="shared" ref="H8:H13" ca="1" si="6">FV(((1+A8)^(1/12)-1+$B$22/12),$B$19,-$B$18,-$B$17,0)*(1+((1+A8)^(1/12)-1+$B$22/12))^$B$20/10000</f>
        <v>207.38427873887463</v>
      </c>
      <c r="I8" s="9">
        <f t="shared" ref="I8:I13" ca="1" si="7">H8/($B$21/10000)-1</f>
        <v>-0.91358988385880224</v>
      </c>
      <c r="J8" s="10">
        <f t="shared" ref="J8:M13" si="8">F8-B8</f>
        <v>544.93431966770731</v>
      </c>
      <c r="K8" s="11">
        <f t="shared" si="8"/>
        <v>0.22705596652821136</v>
      </c>
      <c r="L8" s="10">
        <f t="shared" ca="1" si="8"/>
        <v>195.12381444187653</v>
      </c>
      <c r="M8" s="11">
        <f t="shared" ca="1" si="8"/>
        <v>8.1301589350781911E-2</v>
      </c>
    </row>
    <row r="9" spans="1:13" ht="24.75" customHeight="1">
      <c r="A9" s="12">
        <v>-0.1</v>
      </c>
      <c r="B9" s="6">
        <f t="shared" si="0"/>
        <v>1490.163685561999</v>
      </c>
      <c r="C9" s="7">
        <f t="shared" si="1"/>
        <v>-0.37909846434916705</v>
      </c>
      <c r="D9" s="6">
        <f t="shared" ca="1" si="2"/>
        <v>189.29963890553393</v>
      </c>
      <c r="E9" s="7">
        <f t="shared" ca="1" si="3"/>
        <v>-0.9211251504560275</v>
      </c>
      <c r="F9" s="8">
        <f t="shared" si="4"/>
        <v>2588.92957880417</v>
      </c>
      <c r="G9" s="9">
        <f t="shared" si="5"/>
        <v>7.8720657835070762E-2</v>
      </c>
      <c r="H9" s="8">
        <f t="shared" ca="1" si="6"/>
        <v>3479.1221824354293</v>
      </c>
      <c r="I9" s="9">
        <f t="shared" ca="1" si="7"/>
        <v>0.44963424268142882</v>
      </c>
      <c r="J9" s="10">
        <f t="shared" si="8"/>
        <v>1098.7658932421709</v>
      </c>
      <c r="K9" s="11">
        <f t="shared" si="8"/>
        <v>0.45781912218423781</v>
      </c>
      <c r="L9" s="10">
        <f t="shared" ca="1" si="8"/>
        <v>3289.8225435298955</v>
      </c>
      <c r="M9" s="11">
        <f t="shared" ca="1" si="8"/>
        <v>1.3707593931374564</v>
      </c>
    </row>
    <row r="10" spans="1:13" ht="24.75" customHeight="1">
      <c r="A10" s="5">
        <v>0</v>
      </c>
      <c r="B10" s="6">
        <f t="shared" si="0"/>
        <v>2400</v>
      </c>
      <c r="C10" s="7">
        <f t="shared" si="1"/>
        <v>0</v>
      </c>
      <c r="D10" s="6">
        <f t="shared" ca="1" si="2"/>
        <v>2400</v>
      </c>
      <c r="E10" s="7">
        <f t="shared" ca="1" si="3"/>
        <v>0</v>
      </c>
      <c r="F10" s="8">
        <f t="shared" si="4"/>
        <v>4600.7737891473398</v>
      </c>
      <c r="G10" s="9">
        <f t="shared" si="5"/>
        <v>0.91698907881139169</v>
      </c>
      <c r="H10" s="8">
        <f t="shared" ca="1" si="6"/>
        <v>47681.918305971172</v>
      </c>
      <c r="I10" s="9">
        <f t="shared" ca="1" si="7"/>
        <v>18.86746596082132</v>
      </c>
      <c r="J10" s="10">
        <f t="shared" si="8"/>
        <v>2200.7737891473398</v>
      </c>
      <c r="K10" s="11">
        <f t="shared" si="8"/>
        <v>0.91698907881139169</v>
      </c>
      <c r="L10" s="10">
        <f t="shared" ca="1" si="8"/>
        <v>45281.918305971172</v>
      </c>
      <c r="M10" s="11">
        <f t="shared" ca="1" si="8"/>
        <v>18.86746596082132</v>
      </c>
    </row>
    <row r="11" spans="1:13" ht="24.75" customHeight="1">
      <c r="A11" s="12">
        <v>0.05</v>
      </c>
      <c r="B11" s="6">
        <f t="shared" si="0"/>
        <v>3087.2632260293694</v>
      </c>
      <c r="C11" s="7">
        <f t="shared" si="1"/>
        <v>0.28635967751223723</v>
      </c>
      <c r="D11" s="6">
        <f t="shared" ca="1" si="2"/>
        <v>8026.5842142265437</v>
      </c>
      <c r="E11" s="7">
        <f t="shared" ca="1" si="3"/>
        <v>2.3444100892610598</v>
      </c>
      <c r="F11" s="8">
        <f t="shared" si="4"/>
        <v>6181.7379379185613</v>
      </c>
      <c r="G11" s="9">
        <f t="shared" si="5"/>
        <v>1.5757241407994007</v>
      </c>
      <c r="H11" s="8">
        <f t="shared" ca="1" si="6"/>
        <v>165002.41785141767</v>
      </c>
      <c r="I11" s="9">
        <f t="shared" ca="1" si="7"/>
        <v>67.751007438090696</v>
      </c>
      <c r="J11" s="10">
        <f t="shared" si="8"/>
        <v>3094.4747118891919</v>
      </c>
      <c r="K11" s="11">
        <f t="shared" si="8"/>
        <v>1.2893644632871635</v>
      </c>
      <c r="L11" s="10">
        <f t="shared" ca="1" si="8"/>
        <v>156975.83363719113</v>
      </c>
      <c r="M11" s="11">
        <f t="shared" ca="1" si="8"/>
        <v>65.406597348829635</v>
      </c>
    </row>
    <row r="12" spans="1:13" ht="24.75" customHeight="1">
      <c r="A12" s="5">
        <v>0.1</v>
      </c>
      <c r="B12" s="6">
        <f t="shared" si="0"/>
        <v>3997.2771342806832</v>
      </c>
      <c r="C12" s="7">
        <f t="shared" si="1"/>
        <v>0.66553213928361799</v>
      </c>
      <c r="D12" s="6">
        <f t="shared" ca="1" si="2"/>
        <v>25844.671135256813</v>
      </c>
      <c r="E12" s="7">
        <f t="shared" ca="1" si="3"/>
        <v>9.7686129730236715</v>
      </c>
      <c r="F12" s="8">
        <f t="shared" si="4"/>
        <v>8323.364745408564</v>
      </c>
      <c r="G12" s="9">
        <f t="shared" si="5"/>
        <v>2.4680686439202351</v>
      </c>
      <c r="H12" s="8">
        <f t="shared" ca="1" si="6"/>
        <v>547563.11116153549</v>
      </c>
      <c r="I12" s="9">
        <f t="shared" ca="1" si="7"/>
        <v>227.15129631730645</v>
      </c>
      <c r="J12" s="10">
        <f t="shared" si="8"/>
        <v>4326.0876111278812</v>
      </c>
      <c r="K12" s="11">
        <f t="shared" si="8"/>
        <v>1.8025365046366171</v>
      </c>
      <c r="L12" s="10">
        <f t="shared" ca="1" si="8"/>
        <v>521718.44002627867</v>
      </c>
      <c r="M12" s="11">
        <f t="shared" ca="1" si="8"/>
        <v>217.38268334428278</v>
      </c>
    </row>
    <row r="13" spans="1:13" ht="24.75" customHeight="1">
      <c r="A13" s="12">
        <v>0.2</v>
      </c>
      <c r="B13" s="6">
        <f t="shared" si="0"/>
        <v>6782.3853509383407</v>
      </c>
      <c r="C13" s="7">
        <f t="shared" si="1"/>
        <v>1.8259938962243085</v>
      </c>
      <c r="D13" s="6">
        <f t="shared" ca="1" si="2"/>
        <v>240998.97546478739</v>
      </c>
      <c r="E13" s="7">
        <f t="shared" ca="1" si="3"/>
        <v>99.416239776994743</v>
      </c>
      <c r="F13" s="8">
        <f t="shared" si="4"/>
        <v>15071.243355027378</v>
      </c>
      <c r="G13" s="9">
        <f t="shared" si="5"/>
        <v>5.2796847312614075</v>
      </c>
      <c r="H13" s="8">
        <f t="shared" ca="1" si="6"/>
        <v>5358790.296177106</v>
      </c>
      <c r="I13" s="9">
        <f t="shared" ca="1" si="7"/>
        <v>2231.8292900737943</v>
      </c>
      <c r="J13" s="10">
        <f t="shared" si="8"/>
        <v>8288.8580040890374</v>
      </c>
      <c r="K13" s="11">
        <f t="shared" si="8"/>
        <v>3.4536908350370989</v>
      </c>
      <c r="L13" s="10">
        <f t="shared" ca="1" si="8"/>
        <v>5117791.3207123186</v>
      </c>
      <c r="M13" s="11">
        <f t="shared" ca="1" si="8"/>
        <v>2132.4130502967996</v>
      </c>
    </row>
    <row r="14" spans="1:13" ht="24.7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</row>
    <row r="15" spans="1:13" ht="24.75" customHeight="1">
      <c r="A15" s="14" t="s">
        <v>10</v>
      </c>
      <c r="B15" s="14" t="s">
        <v>19</v>
      </c>
      <c r="C15" s="42" t="s">
        <v>20</v>
      </c>
      <c r="D15" s="42"/>
      <c r="F15" s="17"/>
      <c r="G15" s="17"/>
      <c r="H15" s="17"/>
      <c r="I15" s="17"/>
      <c r="J15" s="17"/>
      <c r="K15" s="17"/>
      <c r="L15" s="17"/>
      <c r="M15" s="17"/>
    </row>
    <row r="16" spans="1:13" ht="24.75" customHeight="1">
      <c r="A16" s="15" t="s">
        <v>17</v>
      </c>
      <c r="B16" s="20">
        <v>36851</v>
      </c>
      <c r="C16" s="41" t="str">
        <f ca="1">DATEDIF(B16, TODAY(), "y") &amp; "년 " &amp; DATEDIF(B16, TODAY(), "ym") &amp; "개월"</f>
        <v>25년 5개월</v>
      </c>
      <c r="D16" s="41"/>
      <c r="F16" s="17"/>
      <c r="G16" s="17"/>
      <c r="H16" s="17"/>
      <c r="I16" s="17"/>
      <c r="J16" s="17"/>
      <c r="K16" s="17"/>
      <c r="L16" s="17"/>
      <c r="M16" s="17"/>
    </row>
    <row r="17" spans="1:13" ht="24.75" customHeight="1">
      <c r="A17" s="15" t="s">
        <v>11</v>
      </c>
      <c r="B17" s="16">
        <v>0</v>
      </c>
      <c r="C17" s="41">
        <f>B17</f>
        <v>0</v>
      </c>
      <c r="D17" s="41"/>
      <c r="F17" s="17"/>
      <c r="G17" s="17"/>
      <c r="H17" s="17"/>
      <c r="I17" s="17"/>
      <c r="J17" s="17"/>
      <c r="K17" s="17"/>
      <c r="L17" s="17"/>
      <c r="M17" s="17"/>
    </row>
    <row r="18" spans="1:13" ht="24.75" customHeight="1">
      <c r="A18" s="15" t="s">
        <v>12</v>
      </c>
      <c r="B18" s="16">
        <v>200000</v>
      </c>
      <c r="C18" s="41">
        <f>B18</f>
        <v>200000</v>
      </c>
      <c r="D18" s="41"/>
      <c r="F18" s="17"/>
      <c r="G18" s="17"/>
      <c r="H18" s="17"/>
      <c r="I18" s="17"/>
      <c r="J18" s="17"/>
      <c r="K18" s="17"/>
      <c r="L18" s="17"/>
      <c r="M18" s="17"/>
    </row>
    <row r="19" spans="1:13" ht="24.75" customHeight="1">
      <c r="A19" s="15" t="s">
        <v>13</v>
      </c>
      <c r="B19" s="16">
        <v>120</v>
      </c>
      <c r="C19" s="43" t="str">
        <f>CONCATENATE(B19,"개월(",ROUND(B19/12,1),"년)")</f>
        <v>120개월(10년)</v>
      </c>
      <c r="D19" s="43"/>
      <c r="F19" s="17"/>
      <c r="G19" s="17"/>
      <c r="H19" s="17"/>
      <c r="I19" s="17"/>
      <c r="J19" s="17"/>
      <c r="K19" s="17"/>
      <c r="L19" s="17"/>
      <c r="M19" s="17"/>
    </row>
    <row r="20" spans="1:13" ht="24.75" customHeight="1">
      <c r="A20" s="15" t="s">
        <v>18</v>
      </c>
      <c r="B20" s="21">
        <f ca="1">660-B19-DATEDIF(B16,TODAY(),"m")</f>
        <v>235</v>
      </c>
      <c r="C20" s="43" t="str">
        <f ca="1">CONCATENATE(B20,"개월(",ROUND(B20/12,1),"년)")</f>
        <v>235개월(19.6년)</v>
      </c>
      <c r="D20" s="43"/>
      <c r="F20" s="17"/>
      <c r="G20" s="17"/>
      <c r="H20" s="17"/>
      <c r="I20" s="17"/>
      <c r="J20" s="17"/>
      <c r="K20" s="17"/>
      <c r="L20" s="17"/>
      <c r="M20" s="17"/>
    </row>
    <row r="21" spans="1:13" ht="24.75" customHeight="1">
      <c r="A21" s="15" t="s">
        <v>15</v>
      </c>
      <c r="B21" s="18">
        <f>$B$18*$B$19+$B$17</f>
        <v>24000000</v>
      </c>
      <c r="C21" s="44" t="str">
        <f>CONCATENATE(ROUND(B21/10000,0),"만원")</f>
        <v>2400만원</v>
      </c>
      <c r="D21" s="44"/>
      <c r="F21" s="17"/>
      <c r="G21" s="17"/>
      <c r="H21" s="17"/>
      <c r="I21" s="17"/>
      <c r="J21" s="17"/>
      <c r="K21" s="17"/>
      <c r="L21" s="17"/>
      <c r="M21" s="17"/>
    </row>
    <row r="22" spans="1:13" ht="24.75" customHeight="1">
      <c r="A22" s="15" t="s">
        <v>16</v>
      </c>
      <c r="B22" s="19">
        <v>0.12</v>
      </c>
      <c r="C22" s="45">
        <f>B22</f>
        <v>0.12</v>
      </c>
      <c r="D22" s="45"/>
      <c r="F22" s="17"/>
      <c r="G22" s="17"/>
      <c r="H22" s="17"/>
      <c r="I22" s="17"/>
      <c r="J22" s="17"/>
      <c r="K22" s="17"/>
      <c r="L22" s="17"/>
      <c r="M22" s="17"/>
    </row>
    <row r="23" spans="1:13" ht="24.75" customHeight="1">
      <c r="C23" s="46"/>
      <c r="D23" s="46"/>
    </row>
  </sheetData>
  <mergeCells count="22">
    <mergeCell ref="A2:M2"/>
    <mergeCell ref="A3:M3"/>
    <mergeCell ref="C23:D23"/>
    <mergeCell ref="C15:D15"/>
    <mergeCell ref="C18:D18"/>
    <mergeCell ref="C19:D19"/>
    <mergeCell ref="C20:D20"/>
    <mergeCell ref="C21:D21"/>
    <mergeCell ref="C22:D22"/>
    <mergeCell ref="C16:D16"/>
    <mergeCell ref="C17:D17"/>
    <mergeCell ref="A4:M4"/>
    <mergeCell ref="A5:A7"/>
    <mergeCell ref="B5:E5"/>
    <mergeCell ref="F5:I5"/>
    <mergeCell ref="J5:M5"/>
    <mergeCell ref="B6:C6"/>
    <mergeCell ref="D6:E6"/>
    <mergeCell ref="F6:G6"/>
    <mergeCell ref="H6:I6"/>
    <mergeCell ref="J6:K6"/>
    <mergeCell ref="L6:M6"/>
  </mergeCells>
  <phoneticPr fontId="13" type="noConversion"/>
  <pageMargins left="0.75" right="0.75" top="1" bottom="1" header="0.511811023622047" footer="0.511811023622047"/>
  <pageSetup paperSize="9" orientation="portrait" horizontalDpi="300" verticalDpi="300"/>
  <ignoredErrors>
    <ignoredError sqref="D8:D13 F8:F13 H8:H13" formula="1"/>
    <ignoredError sqref="B20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Normal="100" workbookViewId="0">
      <selection activeCell="H19" sqref="H19"/>
    </sheetView>
  </sheetViews>
  <sheetFormatPr defaultColWidth="8.7109375" defaultRowHeight="15"/>
  <cols>
    <col min="1" max="1" width="26.7109375" style="1" customWidth="1"/>
    <col min="2" max="2" width="15.42578125" style="1" customWidth="1"/>
    <col min="3" max="3" width="9.28515625" style="1" customWidth="1"/>
    <col min="4" max="4" width="13.5703125" style="1" customWidth="1"/>
    <col min="5" max="5" width="11" style="1" customWidth="1"/>
    <col min="6" max="6" width="11.85546875" style="1" customWidth="1"/>
    <col min="7" max="7" width="9.28515625" style="1" customWidth="1"/>
    <col min="8" max="8" width="17.42578125" style="1" customWidth="1"/>
    <col min="9" max="9" width="13.5703125" style="1" customWidth="1"/>
    <col min="10" max="10" width="11.85546875" style="1" customWidth="1"/>
    <col min="11" max="11" width="9.28515625" style="1" customWidth="1"/>
    <col min="12" max="12" width="17.42578125" style="1" customWidth="1"/>
    <col min="13" max="13" width="13.5703125" style="1" customWidth="1"/>
  </cols>
  <sheetData>
    <row r="1" spans="1:13" ht="24.75" customHeight="1">
      <c r="A1" s="13" t="s">
        <v>7</v>
      </c>
    </row>
    <row r="2" spans="1:13" ht="24.75" customHeight="1">
      <c r="A2" s="40" t="s">
        <v>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24.75" customHeight="1">
      <c r="A3" s="40" t="s">
        <v>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ht="27.75" customHeight="1">
      <c r="A4" s="28" t="s">
        <v>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 ht="19.5" customHeight="1">
      <c r="A5" s="29" t="s">
        <v>1</v>
      </c>
      <c r="B5" s="30" t="s">
        <v>2</v>
      </c>
      <c r="C5" s="30"/>
      <c r="D5" s="30"/>
      <c r="E5" s="30"/>
      <c r="F5" s="31" t="s">
        <v>3</v>
      </c>
      <c r="G5" s="31"/>
      <c r="H5" s="31"/>
      <c r="I5" s="31"/>
      <c r="J5" s="32" t="s">
        <v>4</v>
      </c>
      <c r="K5" s="32"/>
      <c r="L5" s="32"/>
      <c r="M5" s="32"/>
    </row>
    <row r="6" spans="1:13" ht="19.5" customHeight="1">
      <c r="A6" s="29"/>
      <c r="B6" s="33" t="str">
        <f ca="1">C20</f>
        <v>292개월(24.3년)</v>
      </c>
      <c r="C6" s="33"/>
      <c r="D6" s="34" t="str">
        <f ca="1">CONCATENATE(B19+B20, "개월(", ROUND((B19+B20)/12, 1), "년)")</f>
        <v>412개월(34.3년)</v>
      </c>
      <c r="E6" s="34"/>
      <c r="F6" s="35" t="str">
        <f ca="1">C20</f>
        <v>292개월(24.3년)</v>
      </c>
      <c r="G6" s="35"/>
      <c r="H6" s="37" t="str">
        <f ca="1">D6</f>
        <v>412개월(34.3년)</v>
      </c>
      <c r="I6" s="37"/>
      <c r="J6" s="38" t="str">
        <f ca="1">C20</f>
        <v>292개월(24.3년)</v>
      </c>
      <c r="K6" s="38"/>
      <c r="L6" s="39" t="str">
        <f ca="1">D6</f>
        <v>412개월(34.3년)</v>
      </c>
      <c r="M6" s="39"/>
    </row>
    <row r="7" spans="1:13" ht="19.5" customHeight="1">
      <c r="A7" s="29"/>
      <c r="B7" s="2" t="s">
        <v>5</v>
      </c>
      <c r="C7" s="2" t="s">
        <v>6</v>
      </c>
      <c r="D7" s="2" t="s">
        <v>5</v>
      </c>
      <c r="E7" s="2" t="s">
        <v>6</v>
      </c>
      <c r="F7" s="3" t="s">
        <v>5</v>
      </c>
      <c r="G7" s="3" t="s">
        <v>6</v>
      </c>
      <c r="H7" s="3" t="s">
        <v>5</v>
      </c>
      <c r="I7" s="3" t="s">
        <v>6</v>
      </c>
      <c r="J7" s="4" t="s">
        <v>5</v>
      </c>
      <c r="K7" s="4" t="s">
        <v>6</v>
      </c>
      <c r="L7" s="4" t="s">
        <v>5</v>
      </c>
      <c r="M7" s="4" t="s">
        <v>6</v>
      </c>
    </row>
    <row r="8" spans="1:13" ht="24.75" customHeight="1">
      <c r="A8" s="5">
        <v>-0.2</v>
      </c>
      <c r="B8" s="6">
        <f t="shared" ref="B8:B13" si="0">FV(((1+A8)^(1/12)-1),$B$19,-$B$18,-$B$17,0)/10000</f>
        <v>969.0094336009538</v>
      </c>
      <c r="C8" s="7">
        <f t="shared" ref="C8:C13" si="1">B8/($B$21/10000)-1</f>
        <v>-0.59624606933293589</v>
      </c>
      <c r="D8" s="6">
        <f t="shared" ref="D8:D13" ca="1" si="2">FV(((1+A8)^(1/12)-1),$B$19,-$B$18,-$B$17,0)*(1+((1+A8)^(1/12)-1))^$B$20/10000</f>
        <v>4.2479985046601083</v>
      </c>
      <c r="E8" s="7">
        <f t="shared" ref="E8:E13" ca="1" si="3">D8/($B$21/10000)-1</f>
        <v>-0.99823000062305833</v>
      </c>
      <c r="F8" s="8">
        <f t="shared" ref="F8:F13" si="4">FV(((1+A8)^(1/12)-1+$B$22/12),$B$19,-$B$18,-$B$17,0)/10000</f>
        <v>1513.9437532686611</v>
      </c>
      <c r="G8" s="9">
        <f t="shared" ref="G8:G13" si="5">F8/($B$21/10000)-1</f>
        <v>-0.36919010280472453</v>
      </c>
      <c r="H8" s="8">
        <f t="shared" ref="H8:H13" ca="1" si="6">FV(((1+A8)^(1/12)-1+$B$22/12),$B$19,-$B$18,-$B$17,0)*(1+((1+A8)^(1/12)-1+$B$22/12))^$B$20/10000</f>
        <v>128.0475978014006</v>
      </c>
      <c r="I8" s="9">
        <f t="shared" ref="I8:I13" ca="1" si="7">H8/($B$21/10000)-1</f>
        <v>-0.94664683424941642</v>
      </c>
      <c r="J8" s="10">
        <f t="shared" ref="J8:M13" si="8">F8-B8</f>
        <v>544.93431966770731</v>
      </c>
      <c r="K8" s="11">
        <f t="shared" si="8"/>
        <v>0.22705596652821136</v>
      </c>
      <c r="L8" s="10">
        <f t="shared" ca="1" si="8"/>
        <v>123.7995992967405</v>
      </c>
      <c r="M8" s="11">
        <f t="shared" ca="1" si="8"/>
        <v>5.1583166373641909E-2</v>
      </c>
    </row>
    <row r="9" spans="1:13" ht="24.75" customHeight="1">
      <c r="A9" s="12">
        <v>-0.1</v>
      </c>
      <c r="B9" s="6">
        <f t="shared" si="0"/>
        <v>1490.163685561999</v>
      </c>
      <c r="C9" s="7">
        <f t="shared" si="1"/>
        <v>-0.37909846434916705</v>
      </c>
      <c r="D9" s="6">
        <f t="shared" ca="1" si="2"/>
        <v>114.7629505405622</v>
      </c>
      <c r="E9" s="7">
        <f t="shared" ca="1" si="3"/>
        <v>-0.95218210394143243</v>
      </c>
      <c r="F9" s="8">
        <f t="shared" si="4"/>
        <v>2588.92957880417</v>
      </c>
      <c r="G9" s="9">
        <f t="shared" si="5"/>
        <v>7.8720657835070762E-2</v>
      </c>
      <c r="H9" s="8">
        <f t="shared" ca="1" si="6"/>
        <v>3737.6725242027128</v>
      </c>
      <c r="I9" s="9">
        <f t="shared" ca="1" si="7"/>
        <v>0.55736355175113039</v>
      </c>
      <c r="J9" s="10">
        <f t="shared" si="8"/>
        <v>1098.7658932421709</v>
      </c>
      <c r="K9" s="11">
        <f t="shared" si="8"/>
        <v>0.45781912218423781</v>
      </c>
      <c r="L9" s="10">
        <f t="shared" ca="1" si="8"/>
        <v>3622.9095736621507</v>
      </c>
      <c r="M9" s="11">
        <f t="shared" ca="1" si="8"/>
        <v>1.5095456556925628</v>
      </c>
    </row>
    <row r="10" spans="1:13" ht="24.75" customHeight="1">
      <c r="A10" s="5">
        <v>0</v>
      </c>
      <c r="B10" s="6">
        <f t="shared" si="0"/>
        <v>2400</v>
      </c>
      <c r="C10" s="7">
        <f t="shared" si="1"/>
        <v>0</v>
      </c>
      <c r="D10" s="6">
        <f t="shared" ca="1" si="2"/>
        <v>2400</v>
      </c>
      <c r="E10" s="7">
        <f t="shared" ca="1" si="3"/>
        <v>0</v>
      </c>
      <c r="F10" s="8">
        <f t="shared" si="4"/>
        <v>4600.7737891473398</v>
      </c>
      <c r="G10" s="9">
        <f t="shared" si="5"/>
        <v>0.91698907881139169</v>
      </c>
      <c r="H10" s="8">
        <f t="shared" ca="1" si="6"/>
        <v>84075.99678895832</v>
      </c>
      <c r="I10" s="9">
        <f t="shared" ca="1" si="7"/>
        <v>34.031665328732636</v>
      </c>
      <c r="J10" s="10">
        <f t="shared" si="8"/>
        <v>2200.7737891473398</v>
      </c>
      <c r="K10" s="11">
        <f t="shared" si="8"/>
        <v>0.91698907881139169</v>
      </c>
      <c r="L10" s="10">
        <f t="shared" ca="1" si="8"/>
        <v>81675.99678895832</v>
      </c>
      <c r="M10" s="11">
        <f t="shared" ca="1" si="8"/>
        <v>34.031665328732636</v>
      </c>
    </row>
    <row r="11" spans="1:13" ht="24.75" customHeight="1">
      <c r="A11" s="12">
        <v>0.05</v>
      </c>
      <c r="B11" s="6">
        <f t="shared" si="0"/>
        <v>3087.2632260293694</v>
      </c>
      <c r="C11" s="7">
        <f t="shared" si="1"/>
        <v>0.28635967751223723</v>
      </c>
      <c r="D11" s="6">
        <f t="shared" ca="1" si="2"/>
        <v>10119.986594563721</v>
      </c>
      <c r="E11" s="7">
        <f t="shared" ca="1" si="3"/>
        <v>3.2166610810682172</v>
      </c>
      <c r="F11" s="8">
        <f t="shared" si="4"/>
        <v>6181.7379379185613</v>
      </c>
      <c r="G11" s="9">
        <f t="shared" si="5"/>
        <v>1.5757241407994007</v>
      </c>
      <c r="H11" s="8">
        <f t="shared" ca="1" si="6"/>
        <v>365984.97891733248</v>
      </c>
      <c r="I11" s="9">
        <f t="shared" ca="1" si="7"/>
        <v>151.49374121555519</v>
      </c>
      <c r="J11" s="10">
        <f t="shared" si="8"/>
        <v>3094.4747118891919</v>
      </c>
      <c r="K11" s="11">
        <f t="shared" si="8"/>
        <v>1.2893644632871635</v>
      </c>
      <c r="L11" s="10">
        <f t="shared" ca="1" si="8"/>
        <v>355864.99232276878</v>
      </c>
      <c r="M11" s="11">
        <f t="shared" ca="1" si="8"/>
        <v>148.27708013448697</v>
      </c>
    </row>
    <row r="12" spans="1:13" ht="24.75" customHeight="1">
      <c r="A12" s="5">
        <v>0.1</v>
      </c>
      <c r="B12" s="6">
        <f t="shared" si="0"/>
        <v>3997.2771342806832</v>
      </c>
      <c r="C12" s="7">
        <f t="shared" si="1"/>
        <v>0.66553213928361799</v>
      </c>
      <c r="D12" s="6">
        <f t="shared" ca="1" si="2"/>
        <v>40643.047499202417</v>
      </c>
      <c r="E12" s="7">
        <f t="shared" ca="1" si="3"/>
        <v>15.934603124667674</v>
      </c>
      <c r="F12" s="8">
        <f t="shared" si="4"/>
        <v>8323.364745408564</v>
      </c>
      <c r="G12" s="9">
        <f t="shared" si="5"/>
        <v>2.4680686439202351</v>
      </c>
      <c r="H12" s="8">
        <f t="shared" ca="1" si="6"/>
        <v>1511571.4873531777</v>
      </c>
      <c r="I12" s="9">
        <f t="shared" ca="1" si="7"/>
        <v>628.82145306382404</v>
      </c>
      <c r="J12" s="10">
        <f t="shared" si="8"/>
        <v>4326.0876111278812</v>
      </c>
      <c r="K12" s="11">
        <f t="shared" si="8"/>
        <v>1.8025365046366171</v>
      </c>
      <c r="L12" s="10">
        <f t="shared" ca="1" si="8"/>
        <v>1470928.4398539753</v>
      </c>
      <c r="M12" s="11">
        <f t="shared" ca="1" si="8"/>
        <v>612.88684993915638</v>
      </c>
    </row>
    <row r="13" spans="1:13" ht="24.75" customHeight="1">
      <c r="A13" s="12">
        <v>0.2</v>
      </c>
      <c r="B13" s="6">
        <f t="shared" si="0"/>
        <v>6782.3853509383407</v>
      </c>
      <c r="C13" s="7">
        <f t="shared" si="1"/>
        <v>1.8259938962243085</v>
      </c>
      <c r="D13" s="6">
        <f t="shared" ca="1" si="2"/>
        <v>572962.38971762348</v>
      </c>
      <c r="E13" s="7">
        <f t="shared" ca="1" si="3"/>
        <v>237.73432904900977</v>
      </c>
      <c r="F13" s="8">
        <f t="shared" si="4"/>
        <v>15071.243355027378</v>
      </c>
      <c r="G13" s="9">
        <f t="shared" si="5"/>
        <v>5.2796847312614075</v>
      </c>
      <c r="H13" s="8">
        <f t="shared" ca="1" si="6"/>
        <v>22274090.852098458</v>
      </c>
      <c r="I13" s="9">
        <f t="shared" ca="1" si="7"/>
        <v>9279.8711883743581</v>
      </c>
      <c r="J13" s="10">
        <f t="shared" si="8"/>
        <v>8288.8580040890374</v>
      </c>
      <c r="K13" s="11">
        <f t="shared" si="8"/>
        <v>3.4536908350370989</v>
      </c>
      <c r="L13" s="10">
        <f t="shared" ca="1" si="8"/>
        <v>21701128.462380834</v>
      </c>
      <c r="M13" s="11">
        <f t="shared" ca="1" si="8"/>
        <v>9042.1368593253483</v>
      </c>
    </row>
    <row r="14" spans="1:13" ht="24.7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</row>
    <row r="15" spans="1:13" ht="24.75" customHeight="1">
      <c r="A15" s="14" t="s">
        <v>10</v>
      </c>
      <c r="B15" s="14" t="s">
        <v>19</v>
      </c>
      <c r="C15" s="42" t="s">
        <v>20</v>
      </c>
      <c r="D15" s="42"/>
      <c r="F15" s="17"/>
      <c r="G15" s="17"/>
      <c r="H15" s="17"/>
      <c r="I15" s="17"/>
      <c r="J15" s="17"/>
      <c r="K15" s="17"/>
      <c r="L15" s="17"/>
      <c r="M15" s="17"/>
    </row>
    <row r="16" spans="1:13" ht="24.75" customHeight="1">
      <c r="A16" s="15" t="s">
        <v>17</v>
      </c>
      <c r="B16" s="20">
        <v>38594</v>
      </c>
      <c r="C16" s="41" t="str">
        <f ca="1">DATEDIF(B16, TODAY(), "y") &amp; "년 " &amp; DATEDIF(B16, TODAY(), "ym") &amp; "개월"</f>
        <v>20년 8개월</v>
      </c>
      <c r="D16" s="41"/>
      <c r="F16" s="17"/>
      <c r="G16" s="17"/>
      <c r="H16" s="17"/>
      <c r="I16" s="17"/>
      <c r="J16" s="17"/>
      <c r="K16" s="17"/>
      <c r="L16" s="17"/>
      <c r="M16" s="17"/>
    </row>
    <row r="17" spans="1:13" ht="24.75" customHeight="1">
      <c r="A17" s="15" t="s">
        <v>11</v>
      </c>
      <c r="B17" s="16">
        <v>0</v>
      </c>
      <c r="C17" s="41">
        <f>B17</f>
        <v>0</v>
      </c>
      <c r="D17" s="41"/>
      <c r="F17" s="17"/>
      <c r="G17" s="17"/>
      <c r="H17" s="17"/>
      <c r="I17" s="17"/>
      <c r="J17" s="17"/>
      <c r="K17" s="17"/>
      <c r="L17" s="17"/>
      <c r="M17" s="17"/>
    </row>
    <row r="18" spans="1:13" ht="24.75" customHeight="1">
      <c r="A18" s="15" t="s">
        <v>12</v>
      </c>
      <c r="B18" s="16">
        <v>200000</v>
      </c>
      <c r="C18" s="41">
        <f>B18</f>
        <v>200000</v>
      </c>
      <c r="D18" s="41"/>
      <c r="F18" s="17"/>
      <c r="G18" s="17"/>
      <c r="H18" s="17"/>
      <c r="I18" s="17"/>
      <c r="J18" s="17"/>
      <c r="K18" s="17"/>
      <c r="L18" s="17"/>
      <c r="M18" s="17"/>
    </row>
    <row r="19" spans="1:13" ht="24.75" customHeight="1">
      <c r="A19" s="15" t="s">
        <v>13</v>
      </c>
      <c r="B19" s="16">
        <v>120</v>
      </c>
      <c r="C19" s="43" t="str">
        <f>CONCATENATE(B19,"개월(",ROUND(B19/12,1),"년)")</f>
        <v>120개월(10년)</v>
      </c>
      <c r="D19" s="43"/>
      <c r="F19" s="17"/>
      <c r="G19" s="17"/>
      <c r="H19" s="17"/>
      <c r="I19" s="17"/>
      <c r="J19" s="17"/>
      <c r="K19" s="17"/>
      <c r="L19" s="17"/>
      <c r="M19" s="17"/>
    </row>
    <row r="20" spans="1:13" ht="24.75" customHeight="1">
      <c r="A20" s="15" t="s">
        <v>18</v>
      </c>
      <c r="B20" s="22">
        <f ca="1">660-B19-DATEDIF(B16,TODAY(),"m")</f>
        <v>292</v>
      </c>
      <c r="C20" s="43" t="str">
        <f ca="1">CONCATENATE(B20,"개월(",ROUND(B20/12,1),"년)")</f>
        <v>292개월(24.3년)</v>
      </c>
      <c r="D20" s="43"/>
      <c r="F20" s="17"/>
      <c r="G20" s="17"/>
      <c r="H20" s="17"/>
      <c r="I20" s="17"/>
      <c r="J20" s="17"/>
      <c r="K20" s="17"/>
      <c r="L20" s="17"/>
      <c r="M20" s="17"/>
    </row>
    <row r="21" spans="1:13" ht="24.75" customHeight="1">
      <c r="A21" s="15" t="s">
        <v>15</v>
      </c>
      <c r="B21" s="18">
        <f>$B$18*$B$19+$B$17</f>
        <v>24000000</v>
      </c>
      <c r="C21" s="44" t="str">
        <f>CONCATENATE(ROUND(B21/10000,0),"만원")</f>
        <v>2400만원</v>
      </c>
      <c r="D21" s="44"/>
      <c r="F21" s="17"/>
      <c r="G21" s="17"/>
      <c r="H21" s="17"/>
      <c r="I21" s="17"/>
      <c r="J21" s="17"/>
      <c r="K21" s="17"/>
      <c r="L21" s="17"/>
      <c r="M21" s="17"/>
    </row>
    <row r="22" spans="1:13" ht="24.75" customHeight="1">
      <c r="A22" s="15" t="s">
        <v>16</v>
      </c>
      <c r="B22" s="19">
        <v>0.12</v>
      </c>
      <c r="C22" s="45">
        <f>B22</f>
        <v>0.12</v>
      </c>
      <c r="D22" s="45"/>
      <c r="F22" s="17"/>
      <c r="G22" s="17"/>
      <c r="H22" s="17"/>
      <c r="I22" s="17"/>
      <c r="J22" s="17"/>
      <c r="K22" s="17"/>
      <c r="L22" s="17"/>
      <c r="M22" s="17"/>
    </row>
    <row r="23" spans="1:13" ht="24.75" customHeight="1">
      <c r="C23" s="46"/>
      <c r="D23" s="46"/>
    </row>
  </sheetData>
  <mergeCells count="22">
    <mergeCell ref="A2:M2"/>
    <mergeCell ref="A3:M3"/>
    <mergeCell ref="C23:D23"/>
    <mergeCell ref="C15:D15"/>
    <mergeCell ref="C18:D18"/>
    <mergeCell ref="C19:D19"/>
    <mergeCell ref="C20:D20"/>
    <mergeCell ref="C21:D21"/>
    <mergeCell ref="C22:D22"/>
    <mergeCell ref="C16:D16"/>
    <mergeCell ref="C17:D17"/>
    <mergeCell ref="A4:M4"/>
    <mergeCell ref="A5:A7"/>
    <mergeCell ref="B5:E5"/>
    <mergeCell ref="F5:I5"/>
    <mergeCell ref="J5:M5"/>
    <mergeCell ref="B6:C6"/>
    <mergeCell ref="D6:E6"/>
    <mergeCell ref="F6:G6"/>
    <mergeCell ref="H6:I6"/>
    <mergeCell ref="J6:K6"/>
    <mergeCell ref="L6:M6"/>
  </mergeCells>
  <phoneticPr fontId="13" type="noConversion"/>
  <pageMargins left="0.75" right="0.75" top="1" bottom="1" header="0.511811023622047" footer="0.511811023622047"/>
  <pageSetup paperSize="9" orientation="portrait" horizontalDpi="300" verticalDpi="300"/>
  <ignoredErrors>
    <ignoredError sqref="D8:D13 F8:F13 H8:H1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Normal="100" workbookViewId="0">
      <selection activeCell="G19" sqref="G19"/>
    </sheetView>
  </sheetViews>
  <sheetFormatPr defaultColWidth="8.7109375" defaultRowHeight="15"/>
  <cols>
    <col min="1" max="1" width="26.7109375" style="1" customWidth="1"/>
    <col min="2" max="2" width="15.42578125" style="1" customWidth="1"/>
    <col min="3" max="3" width="9.28515625" style="1" customWidth="1"/>
    <col min="4" max="4" width="13.5703125" style="1" customWidth="1"/>
    <col min="5" max="5" width="11" style="1" customWidth="1"/>
    <col min="6" max="6" width="11.85546875" style="1" customWidth="1"/>
    <col min="7" max="7" width="9.28515625" style="1" customWidth="1"/>
    <col min="8" max="8" width="17.42578125" style="1" customWidth="1"/>
    <col min="9" max="9" width="13.5703125" style="1" customWidth="1"/>
    <col min="10" max="10" width="11.85546875" style="1" customWidth="1"/>
    <col min="11" max="11" width="9.28515625" style="1" customWidth="1"/>
    <col min="12" max="12" width="17.42578125" style="1" customWidth="1"/>
    <col min="13" max="13" width="13.5703125" style="1" customWidth="1"/>
  </cols>
  <sheetData>
    <row r="1" spans="1:13" ht="24.75" customHeight="1">
      <c r="A1" s="13" t="s">
        <v>7</v>
      </c>
    </row>
    <row r="2" spans="1:13" ht="24.75" customHeight="1">
      <c r="A2" s="40" t="s">
        <v>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24.75" customHeight="1">
      <c r="A3" s="40" t="s">
        <v>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ht="27.75" customHeight="1">
      <c r="A4" s="28" t="s">
        <v>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 ht="19.5" customHeight="1">
      <c r="A5" s="29" t="s">
        <v>1</v>
      </c>
      <c r="B5" s="30" t="s">
        <v>2</v>
      </c>
      <c r="C5" s="30"/>
      <c r="D5" s="30"/>
      <c r="E5" s="30"/>
      <c r="F5" s="31" t="s">
        <v>3</v>
      </c>
      <c r="G5" s="31"/>
      <c r="H5" s="31"/>
      <c r="I5" s="31"/>
      <c r="J5" s="32" t="s">
        <v>4</v>
      </c>
      <c r="K5" s="32"/>
      <c r="L5" s="32"/>
      <c r="M5" s="32"/>
    </row>
    <row r="6" spans="1:13" ht="19.5" customHeight="1">
      <c r="A6" s="29"/>
      <c r="B6" s="33" t="str">
        <f ca="1">C20</f>
        <v>365개월(30.4년)</v>
      </c>
      <c r="C6" s="33"/>
      <c r="D6" s="34" t="str">
        <f ca="1">CONCATENATE(B19+B20, "개월(", ROUND((B19+B20)/12, 1), "년)")</f>
        <v>485개월(40.4년)</v>
      </c>
      <c r="E6" s="34"/>
      <c r="F6" s="35" t="str">
        <f ca="1">C20</f>
        <v>365개월(30.4년)</v>
      </c>
      <c r="G6" s="35"/>
      <c r="H6" s="37" t="str">
        <f ca="1">D6</f>
        <v>485개월(40.4년)</v>
      </c>
      <c r="I6" s="37"/>
      <c r="J6" s="38" t="str">
        <f ca="1">C20</f>
        <v>365개월(30.4년)</v>
      </c>
      <c r="K6" s="38"/>
      <c r="L6" s="39" t="str">
        <f ca="1">D6</f>
        <v>485개월(40.4년)</v>
      </c>
      <c r="M6" s="39"/>
    </row>
    <row r="7" spans="1:13" ht="19.5" customHeight="1">
      <c r="A7" s="29"/>
      <c r="B7" s="2" t="s">
        <v>5</v>
      </c>
      <c r="C7" s="2" t="s">
        <v>6</v>
      </c>
      <c r="D7" s="2" t="s">
        <v>5</v>
      </c>
      <c r="E7" s="2" t="s">
        <v>6</v>
      </c>
      <c r="F7" s="3" t="s">
        <v>5</v>
      </c>
      <c r="G7" s="3" t="s">
        <v>6</v>
      </c>
      <c r="H7" s="3" t="s">
        <v>5</v>
      </c>
      <c r="I7" s="3" t="s">
        <v>6</v>
      </c>
      <c r="J7" s="4" t="s">
        <v>5</v>
      </c>
      <c r="K7" s="4" t="s">
        <v>6</v>
      </c>
      <c r="L7" s="4" t="s">
        <v>5</v>
      </c>
      <c r="M7" s="4" t="s">
        <v>6</v>
      </c>
    </row>
    <row r="8" spans="1:13" ht="24.75" customHeight="1">
      <c r="A8" s="5">
        <v>-0.2</v>
      </c>
      <c r="B8" s="6">
        <f t="shared" ref="B8:B13" si="0">FV(((1+A8)^(1/12)-1),$B$19,-$B$18,-$B$17,0)/10000</f>
        <v>969.0094336009538</v>
      </c>
      <c r="C8" s="7">
        <f t="shared" ref="C8:C13" si="1">B8/($B$21/10000)-1</f>
        <v>-0.59624606933293589</v>
      </c>
      <c r="D8" s="6">
        <f t="shared" ref="D8:D13" ca="1" si="2">FV(((1+A8)^(1/12)-1),$B$19,-$B$18,-$B$17,0)*(1+((1+A8)^(1/12)-1))^$B$20/10000</f>
        <v>1.0930711772825277</v>
      </c>
      <c r="E8" s="7">
        <f t="shared" ref="E8:E13" ca="1" si="3">D8/($B$21/10000)-1</f>
        <v>-0.99954455367613226</v>
      </c>
      <c r="F8" s="8">
        <f t="shared" ref="F8:F13" si="4">FV(((1+A8)^(1/12)-1+$B$22/12),$B$19,-$B$18,-$B$17,0)/10000</f>
        <v>1513.9437532686611</v>
      </c>
      <c r="G8" s="9">
        <f t="shared" ref="G8:G13" si="5">F8/($B$21/10000)-1</f>
        <v>-0.36919010280472453</v>
      </c>
      <c r="H8" s="8">
        <f t="shared" ref="H8:H13" ca="1" si="6">FV(((1+A8)^(1/12)-1+$B$22/12),$B$19,-$B$18,-$B$17,0)*(1+((1+A8)^(1/12)-1+$B$22/12))^$B$20/10000</f>
        <v>69.053684976680643</v>
      </c>
      <c r="I8" s="9">
        <f t="shared" ref="I8:I13" ca="1" si="7">H8/($B$21/10000)-1</f>
        <v>-0.97122763125971645</v>
      </c>
      <c r="J8" s="10">
        <f t="shared" ref="J8:M13" si="8">F8-B8</f>
        <v>544.93431966770731</v>
      </c>
      <c r="K8" s="11">
        <f t="shared" si="8"/>
        <v>0.22705596652821136</v>
      </c>
      <c r="L8" s="10">
        <f t="shared" ca="1" si="8"/>
        <v>67.960613799398118</v>
      </c>
      <c r="M8" s="11">
        <f t="shared" ca="1" si="8"/>
        <v>2.8316922416415813E-2</v>
      </c>
    </row>
    <row r="9" spans="1:13" ht="24.75" customHeight="1">
      <c r="A9" s="12">
        <v>-0.1</v>
      </c>
      <c r="B9" s="6">
        <f t="shared" si="0"/>
        <v>1490.163685561999</v>
      </c>
      <c r="C9" s="7">
        <f t="shared" si="1"/>
        <v>-0.37909846434916705</v>
      </c>
      <c r="D9" s="6">
        <f t="shared" ca="1" si="2"/>
        <v>60.45658864341079</v>
      </c>
      <c r="E9" s="7">
        <f t="shared" ca="1" si="3"/>
        <v>-0.97480975473191211</v>
      </c>
      <c r="F9" s="8">
        <f t="shared" si="4"/>
        <v>2588.92957880417</v>
      </c>
      <c r="G9" s="9">
        <f t="shared" si="5"/>
        <v>7.8720657835070762E-2</v>
      </c>
      <c r="H9" s="8">
        <f t="shared" ca="1" si="6"/>
        <v>4097.0522323311598</v>
      </c>
      <c r="I9" s="9">
        <f t="shared" ca="1" si="7"/>
        <v>0.70710509680464995</v>
      </c>
      <c r="J9" s="10">
        <f t="shared" si="8"/>
        <v>1098.7658932421709</v>
      </c>
      <c r="K9" s="11">
        <f t="shared" si="8"/>
        <v>0.45781912218423781</v>
      </c>
      <c r="L9" s="10">
        <f t="shared" ca="1" si="8"/>
        <v>4036.5956436877491</v>
      </c>
      <c r="M9" s="11">
        <f t="shared" ca="1" si="8"/>
        <v>1.6819148515365621</v>
      </c>
    </row>
    <row r="10" spans="1:13" ht="24.75" customHeight="1">
      <c r="A10" s="5">
        <v>0</v>
      </c>
      <c r="B10" s="6">
        <f t="shared" si="0"/>
        <v>2400</v>
      </c>
      <c r="C10" s="7">
        <f t="shared" si="1"/>
        <v>0</v>
      </c>
      <c r="D10" s="6">
        <f t="shared" ca="1" si="2"/>
        <v>2400</v>
      </c>
      <c r="E10" s="7">
        <f t="shared" ca="1" si="3"/>
        <v>0</v>
      </c>
      <c r="F10" s="8">
        <f t="shared" si="4"/>
        <v>4600.7737891473398</v>
      </c>
      <c r="G10" s="9">
        <f t="shared" si="5"/>
        <v>0.91698907881139169</v>
      </c>
      <c r="H10" s="8">
        <f t="shared" ca="1" si="6"/>
        <v>173833.03434271767</v>
      </c>
      <c r="I10" s="9">
        <f t="shared" ca="1" si="7"/>
        <v>71.430430976132357</v>
      </c>
      <c r="J10" s="10">
        <f t="shared" si="8"/>
        <v>2200.7737891473398</v>
      </c>
      <c r="K10" s="11">
        <f t="shared" si="8"/>
        <v>0.91698907881139169</v>
      </c>
      <c r="L10" s="10">
        <f t="shared" ca="1" si="8"/>
        <v>171433.03434271767</v>
      </c>
      <c r="M10" s="11">
        <f t="shared" ca="1" si="8"/>
        <v>71.430430976132357</v>
      </c>
    </row>
    <row r="11" spans="1:13" ht="24.75" customHeight="1">
      <c r="A11" s="12">
        <v>0.05</v>
      </c>
      <c r="B11" s="6">
        <f t="shared" si="0"/>
        <v>3087.2632260293694</v>
      </c>
      <c r="C11" s="7">
        <f t="shared" si="1"/>
        <v>0.28635967751223723</v>
      </c>
      <c r="D11" s="6">
        <f t="shared" ca="1" si="2"/>
        <v>13617.002166449463</v>
      </c>
      <c r="E11" s="7">
        <f t="shared" ca="1" si="3"/>
        <v>4.6737509026872761</v>
      </c>
      <c r="F11" s="8">
        <f t="shared" si="4"/>
        <v>6181.7379379185613</v>
      </c>
      <c r="G11" s="9">
        <f t="shared" si="5"/>
        <v>1.5757241407994007</v>
      </c>
      <c r="H11" s="8">
        <f t="shared" ca="1" si="6"/>
        <v>1015199.5785613843</v>
      </c>
      <c r="I11" s="9">
        <f t="shared" ca="1" si="7"/>
        <v>421.99982440057681</v>
      </c>
      <c r="J11" s="10">
        <f t="shared" si="8"/>
        <v>3094.4747118891919</v>
      </c>
      <c r="K11" s="11">
        <f t="shared" si="8"/>
        <v>1.2893644632871635</v>
      </c>
      <c r="L11" s="10">
        <f t="shared" ca="1" si="8"/>
        <v>1001582.5763949349</v>
      </c>
      <c r="M11" s="11">
        <f t="shared" ca="1" si="8"/>
        <v>417.32607349788952</v>
      </c>
    </row>
    <row r="12" spans="1:13" ht="24.75" customHeight="1">
      <c r="A12" s="5">
        <v>0.1</v>
      </c>
      <c r="B12" s="6">
        <f t="shared" si="0"/>
        <v>3997.2771342806832</v>
      </c>
      <c r="C12" s="7">
        <f t="shared" si="1"/>
        <v>0.66553213928361799</v>
      </c>
      <c r="D12" s="6">
        <f t="shared" ca="1" si="2"/>
        <v>72575.789042226999</v>
      </c>
      <c r="E12" s="7">
        <f t="shared" ca="1" si="3"/>
        <v>29.239912100927917</v>
      </c>
      <c r="F12" s="8">
        <f t="shared" si="4"/>
        <v>8323.364745408564</v>
      </c>
      <c r="G12" s="9">
        <f t="shared" si="5"/>
        <v>2.4680686439202351</v>
      </c>
      <c r="H12" s="8">
        <f t="shared" ca="1" si="6"/>
        <v>5548954.0999516435</v>
      </c>
      <c r="I12" s="9">
        <f t="shared" ca="1" si="7"/>
        <v>2311.0642083131847</v>
      </c>
      <c r="J12" s="10">
        <f t="shared" si="8"/>
        <v>4326.0876111278812</v>
      </c>
      <c r="K12" s="11">
        <f t="shared" si="8"/>
        <v>1.8025365046366171</v>
      </c>
      <c r="L12" s="10">
        <f t="shared" ca="1" si="8"/>
        <v>5476378.3109094165</v>
      </c>
      <c r="M12" s="11">
        <f t="shared" ca="1" si="8"/>
        <v>2281.8242962122567</v>
      </c>
    </row>
    <row r="13" spans="1:13" ht="24.75" customHeight="1">
      <c r="A13" s="12">
        <v>0.2</v>
      </c>
      <c r="B13" s="6">
        <f t="shared" si="0"/>
        <v>6782.3853509383407</v>
      </c>
      <c r="C13" s="7">
        <f t="shared" si="1"/>
        <v>1.8259938962243085</v>
      </c>
      <c r="D13" s="6">
        <f t="shared" ca="1" si="2"/>
        <v>1737048.8358478444</v>
      </c>
      <c r="E13" s="7">
        <f t="shared" ca="1" si="3"/>
        <v>722.7703482699352</v>
      </c>
      <c r="F13" s="8">
        <f t="shared" si="4"/>
        <v>15071.243355027378</v>
      </c>
      <c r="G13" s="9">
        <f t="shared" si="5"/>
        <v>5.2796847312614075</v>
      </c>
      <c r="H13" s="8">
        <f t="shared" ca="1" si="6"/>
        <v>138106052.77227035</v>
      </c>
      <c r="I13" s="9">
        <f t="shared" ca="1" si="7"/>
        <v>57543.188655112644</v>
      </c>
      <c r="J13" s="10">
        <f t="shared" si="8"/>
        <v>8288.8580040890374</v>
      </c>
      <c r="K13" s="11">
        <f t="shared" si="8"/>
        <v>3.4536908350370989</v>
      </c>
      <c r="L13" s="10">
        <f t="shared" ca="1" si="8"/>
        <v>136369003.9364225</v>
      </c>
      <c r="M13" s="11">
        <f t="shared" ca="1" si="8"/>
        <v>56820.418306842708</v>
      </c>
    </row>
    <row r="14" spans="1:13" ht="24.7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</row>
    <row r="15" spans="1:13" ht="24.75" customHeight="1">
      <c r="A15" s="14" t="s">
        <v>10</v>
      </c>
      <c r="B15" s="14" t="s">
        <v>19</v>
      </c>
      <c r="C15" s="42" t="s">
        <v>20</v>
      </c>
      <c r="D15" s="42"/>
      <c r="E15" s="23"/>
      <c r="F15" s="23"/>
      <c r="G15" s="23"/>
      <c r="H15" s="24"/>
      <c r="I15" s="25"/>
      <c r="J15" s="23"/>
      <c r="K15" s="25"/>
      <c r="L15" s="25"/>
      <c r="M15" s="25"/>
    </row>
    <row r="16" spans="1:13" ht="24.75" customHeight="1">
      <c r="A16" s="15" t="s">
        <v>17</v>
      </c>
      <c r="B16" s="20">
        <v>40826</v>
      </c>
      <c r="C16" s="41" t="str">
        <f ca="1">DATEDIF(B16, TODAY(), "y") &amp; "년 " &amp; DATEDIF(B16, TODAY(), "ym") &amp; "개월"</f>
        <v>14년 7개월</v>
      </c>
      <c r="D16" s="41"/>
      <c r="E16" s="23"/>
      <c r="F16" s="23"/>
      <c r="G16" s="23"/>
      <c r="H16" s="24"/>
      <c r="I16" s="25"/>
      <c r="J16" s="23"/>
      <c r="K16" s="25"/>
      <c r="L16" s="25"/>
      <c r="M16" s="25"/>
    </row>
    <row r="17" spans="1:13" ht="24.75" customHeight="1">
      <c r="A17" s="15" t="s">
        <v>11</v>
      </c>
      <c r="B17" s="16">
        <v>0</v>
      </c>
      <c r="C17" s="41">
        <f>B17</f>
        <v>0</v>
      </c>
      <c r="D17" s="41"/>
      <c r="E17" s="23"/>
      <c r="F17" s="23"/>
      <c r="G17" s="23"/>
      <c r="H17" s="24"/>
      <c r="I17" s="25"/>
      <c r="J17" s="23"/>
      <c r="K17" s="25"/>
      <c r="L17" s="25"/>
      <c r="M17" s="25"/>
    </row>
    <row r="18" spans="1:13" ht="24.75" customHeight="1">
      <c r="A18" s="15" t="s">
        <v>12</v>
      </c>
      <c r="B18" s="26">
        <v>200000</v>
      </c>
      <c r="C18" s="41">
        <f>B18</f>
        <v>200000</v>
      </c>
      <c r="D18" s="41"/>
      <c r="E18" s="23"/>
      <c r="F18" s="23"/>
      <c r="G18" s="23"/>
      <c r="H18" s="24"/>
      <c r="I18" s="25"/>
      <c r="J18" s="25"/>
      <c r="K18" s="25"/>
      <c r="L18" s="25"/>
      <c r="M18" s="25"/>
    </row>
    <row r="19" spans="1:13" ht="24.75" customHeight="1">
      <c r="A19" s="15" t="s">
        <v>13</v>
      </c>
      <c r="B19" s="26">
        <v>120</v>
      </c>
      <c r="C19" s="43" t="str">
        <f>CONCATENATE(B19,"개월(",ROUND(B19/12,1),"년)")</f>
        <v>120개월(10년)</v>
      </c>
      <c r="D19" s="43"/>
      <c r="E19" s="23"/>
      <c r="F19" s="23"/>
      <c r="G19" s="23"/>
      <c r="H19" s="25"/>
      <c r="I19" s="25"/>
      <c r="J19" s="25"/>
      <c r="K19" s="25"/>
      <c r="L19" s="25"/>
      <c r="M19" s="25"/>
    </row>
    <row r="20" spans="1:13" ht="24.75" customHeight="1">
      <c r="A20" s="15" t="s">
        <v>18</v>
      </c>
      <c r="B20" s="22">
        <f ca="1">660-B19-DATEDIF(B16,TODAY(),"m")</f>
        <v>365</v>
      </c>
      <c r="C20" s="43" t="str">
        <f ca="1">CONCATENATE(B20,"개월(",ROUND(B20/12,1),"년)")</f>
        <v>365개월(30.4년)</v>
      </c>
      <c r="D20" s="43"/>
      <c r="E20" s="23"/>
      <c r="F20" s="23"/>
      <c r="G20" s="23"/>
      <c r="H20" s="24"/>
      <c r="I20" s="25"/>
      <c r="J20" s="25"/>
      <c r="K20" s="25"/>
      <c r="L20" s="25"/>
      <c r="M20" s="25"/>
    </row>
    <row r="21" spans="1:13" ht="24.75" customHeight="1">
      <c r="A21" s="15" t="s">
        <v>15</v>
      </c>
      <c r="B21" s="18">
        <f>$B$18*$B$19+$B$17</f>
        <v>24000000</v>
      </c>
      <c r="C21" s="44" t="str">
        <f>CONCATENATE(ROUND(B21/10000,0),"만원")</f>
        <v>2400만원</v>
      </c>
      <c r="D21" s="44"/>
      <c r="E21" s="23"/>
      <c r="F21" s="23"/>
      <c r="G21" s="23"/>
      <c r="H21" s="24"/>
      <c r="I21" s="25"/>
      <c r="J21" s="25"/>
      <c r="K21" s="25"/>
      <c r="L21" s="25"/>
      <c r="M21" s="25"/>
    </row>
    <row r="22" spans="1:13" ht="24.75" customHeight="1">
      <c r="A22" s="15" t="s">
        <v>16</v>
      </c>
      <c r="B22" s="27">
        <v>0.12</v>
      </c>
      <c r="C22" s="45">
        <f>B22</f>
        <v>0.12</v>
      </c>
      <c r="D22" s="45"/>
      <c r="E22" s="23"/>
      <c r="F22" s="23"/>
      <c r="G22" s="23"/>
      <c r="H22" s="25"/>
      <c r="I22" s="25"/>
      <c r="J22" s="25"/>
      <c r="K22" s="25"/>
      <c r="L22" s="25"/>
      <c r="M22" s="25"/>
    </row>
    <row r="23" spans="1:13" ht="24.75" customHeight="1">
      <c r="C23" s="46"/>
      <c r="D23" s="46"/>
    </row>
  </sheetData>
  <mergeCells count="22">
    <mergeCell ref="A2:M2"/>
    <mergeCell ref="A3:M3"/>
    <mergeCell ref="C23:D23"/>
    <mergeCell ref="C15:D15"/>
    <mergeCell ref="C18:D18"/>
    <mergeCell ref="C19:D19"/>
    <mergeCell ref="C20:D20"/>
    <mergeCell ref="C21:D21"/>
    <mergeCell ref="C22:D22"/>
    <mergeCell ref="C16:D16"/>
    <mergeCell ref="C17:D17"/>
    <mergeCell ref="A4:M4"/>
    <mergeCell ref="A5:A7"/>
    <mergeCell ref="B5:E5"/>
    <mergeCell ref="F5:I5"/>
    <mergeCell ref="J5:M5"/>
    <mergeCell ref="B6:C6"/>
    <mergeCell ref="D6:E6"/>
    <mergeCell ref="F6:G6"/>
    <mergeCell ref="H6:I6"/>
    <mergeCell ref="J6:K6"/>
    <mergeCell ref="L6:M6"/>
  </mergeCells>
  <phoneticPr fontId="13" type="noConversion"/>
  <pageMargins left="0.75" right="0.75" top="1" bottom="1" header="0.511811023622047" footer="0.511811023622047"/>
  <pageSetup paperSize="9" orientation="portrait" horizontalDpi="300" verticalDpi="300" r:id="rId1"/>
  <ignoredErrors>
    <ignoredError sqref="D8:D13 F8:F13 H8:H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수익율 확인</vt:lpstr>
      <vt:lpstr>동민</vt:lpstr>
      <vt:lpstr>고은</vt:lpstr>
      <vt:lpstr>샤인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신기철</cp:lastModifiedBy>
  <cp:revision>0</cp:revision>
  <dcterms:created xsi:type="dcterms:W3CDTF">2026-05-09T12:26:37Z</dcterms:created>
  <dcterms:modified xsi:type="dcterms:W3CDTF">2026-05-10T06:16:48Z</dcterms:modified>
  <dc:language>en-US</dc:language>
</cp:coreProperties>
</file>